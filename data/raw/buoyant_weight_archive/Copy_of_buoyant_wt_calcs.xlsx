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fsCCfmBRWJlrZZzR4p6VHI/Cd7qTMyhtrH6U/EWY4Bo="/>
    </ext>
  </extLst>
</workbook>
</file>

<file path=xl/sharedStrings.xml><?xml version="1.0" encoding="utf-8"?>
<sst xmlns="http://schemas.openxmlformats.org/spreadsheetml/2006/main" count="107" uniqueCount="45">
  <si>
    <t>**Plan: calculate coral weight initial, final, and plug weight. Then subtract plug from inital and final, then calculate % change</t>
  </si>
  <si>
    <t>Density of distilled water from CRC 65th Edition, Page F10</t>
  </si>
  <si>
    <t>Temperature</t>
  </si>
  <si>
    <t>Density</t>
  </si>
  <si>
    <t>oC</t>
  </si>
  <si>
    <t>g/ml</t>
  </si>
  <si>
    <t>Reference Dry</t>
  </si>
  <si>
    <t>Reference wet (SW)</t>
  </si>
  <si>
    <t>Reference wet (FW)</t>
  </si>
  <si>
    <t>Temp SW</t>
  </si>
  <si>
    <t>Temp FW</t>
  </si>
  <si>
    <t>Basic Equations</t>
  </si>
  <si>
    <t>Temp4 &lt;- 25.72 #Temperature of the measurement</t>
  </si>
  <si>
    <t>W(air) = W(sw) + [Vol*D(sw)], if Vol = W(air)/D(obj), then W(air) = (W(sw))/[1-D(sw)/D(ob)]</t>
  </si>
  <si>
    <t>RefDry4 &lt;- 39.112 #weight of solid glass dry reference in air</t>
  </si>
  <si>
    <t>RefSW4 &lt;- 21.148 #weight of solid glass reference in seawater</t>
  </si>
  <si>
    <t>RefFW4 &lt;- 21.582 #weight of solid glass reference in freshwater</t>
  </si>
  <si>
    <t>Temperature of Seawater</t>
  </si>
  <si>
    <t>DenFW4 &lt;- ((-0.000005*Temp4*Temp4)+(0.000007*Temp4)+1.0001) #g cm-3 Calculates density of the freshwater as a function of temperature</t>
  </si>
  <si>
    <t>Reference in seawater</t>
  </si>
  <si>
    <t>g</t>
  </si>
  <si>
    <t>Entered</t>
  </si>
  <si>
    <t>DenRef4 &lt;- ((RefDry4*DenFW4)/(RefDry4-RefFW4)) #g cm-3 Equation 4 from Spencer Davies 1989 calculates the density of the reference weight</t>
  </si>
  <si>
    <t>Reference weight  in fresh water</t>
  </si>
  <si>
    <t>DenSW4 &lt;- ((DenRef4*(RefDry4-RefSW4))/(RefDry4))  #g cm-3 Equation 3 from Spencer Davies 1989 using the density of the calcualted reference weight</t>
  </si>
  <si>
    <t>Reference weight dry</t>
  </si>
  <si>
    <t>Temperature of FW</t>
  </si>
  <si>
    <t>Density of FW</t>
  </si>
  <si>
    <t>g/cm^3</t>
  </si>
  <si>
    <t>Calculated from values entered</t>
  </si>
  <si>
    <t>Density of ref weight</t>
  </si>
  <si>
    <t>Aragonite Density</t>
  </si>
  <si>
    <t>Reference: Spencer Davies 1984</t>
  </si>
  <si>
    <t>Density of SW</t>
  </si>
  <si>
    <t>Calculated from temperature and curve above</t>
  </si>
  <si>
    <t>Coral bouyant weight</t>
  </si>
  <si>
    <t>Coral Dry weight</t>
  </si>
  <si>
    <t>For coral of weight 5 g bouyant</t>
  </si>
  <si>
    <t>SW density</t>
  </si>
  <si>
    <t>Bwt</t>
  </si>
  <si>
    <t>% change in SWd</t>
  </si>
  <si>
    <t>% change in WT</t>
  </si>
  <si>
    <t>x</t>
  </si>
  <si>
    <t>y</t>
  </si>
  <si>
    <t>from davies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</si>
</sst>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0.0"/>
      <color rgb="FF000000"/>
      <name val="Verdana"/>
      <scheme val="minor"/>
    </font>
    <font>
      <color theme="1"/>
      <name val="Verdana"/>
      <scheme val="minor"/>
    </font>
    <font>
      <b/>
      <sz val="10.0"/>
      <color theme="1"/>
      <name val="Verdana"/>
    </font>
    <font>
      <sz val="10.0"/>
      <color theme="1"/>
      <name val="Verdana"/>
    </font>
    <font>
      <b/>
      <sz val="10.0"/>
      <color rgb="FFDD0806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CF305"/>
        <bgColor rgb="FFFCF30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164" xfId="0" applyAlignment="1" applyFont="1" applyNumberFormat="1">
      <alignment horizontal="center" shrinkToFit="0" vertical="bottom" wrapText="0"/>
    </xf>
    <xf borderId="0" fillId="0" fontId="1" numFmtId="0" xfId="0" applyFont="1"/>
    <xf borderId="0" fillId="0" fontId="4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63AAFE"/>
              </a:solidFill>
              <a:ln cmpd="sng">
                <a:solidFill>
                  <a:srgbClr val="63AAFE"/>
                </a:solidFill>
              </a:ln>
            </c:spPr>
          </c:marker>
          <c:xVal>
            <c:numRef>
              <c:f>Sheet1!$B$6:$B$15</c:f>
            </c:numRef>
          </c:xVal>
          <c:yVal>
            <c:numRef>
              <c:f>Sheet1!$C$6:$C$15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884891"/>
        <c:axId val="1126374323"/>
      </c:scatterChart>
      <c:valAx>
        <c:axId val="6358848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6374323"/>
      </c:valAx>
      <c:valAx>
        <c:axId val="1126374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58848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63AAFE"/>
              </a:solidFill>
              <a:ln cmpd="sng">
                <a:solidFill>
                  <a:srgbClr val="63AAFE"/>
                </a:solidFill>
              </a:ln>
            </c:spPr>
          </c:marker>
          <c:xVal>
            <c:numRef>
              <c:f>Sheet1!$B$6:$B$15</c:f>
            </c:numRef>
          </c:xVal>
          <c:yVal>
            <c:numRef>
              <c:f>Sheet1!$C$6:$C$15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758648"/>
        <c:axId val="1181366036"/>
      </c:scatterChart>
      <c:valAx>
        <c:axId val="921758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1366036"/>
      </c:valAx>
      <c:valAx>
        <c:axId val="11813660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17586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257175</xdr:colOff>
      <xdr:row>3</xdr:row>
      <xdr:rowOff>19050</xdr:rowOff>
    </xdr:from>
    <xdr:ext cx="6105525" cy="3638550"/>
    <xdr:graphicFrame>
      <xdr:nvGraphicFramePr>
        <xdr:cNvPr descr="Chart 0" id="41161898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152400</xdr:colOff>
      <xdr:row>3</xdr:row>
      <xdr:rowOff>123825</xdr:rowOff>
    </xdr:from>
    <xdr:ext cx="6105525" cy="3638550"/>
    <xdr:graphicFrame>
      <xdr:nvGraphicFramePr>
        <xdr:cNvPr descr="Chart 0" id="181772803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0"/>
    <col customWidth="1" min="3" max="3" width="15.11"/>
    <col customWidth="1" min="4" max="4" width="10.0"/>
    <col customWidth="1" min="5" max="5" width="15.33"/>
    <col customWidth="1" min="6" max="6" width="15.44"/>
    <col customWidth="1" min="7" max="26" width="10.0"/>
  </cols>
  <sheetData>
    <row r="1" ht="12.75" customHeight="1">
      <c r="A1" s="1" t="s">
        <v>0</v>
      </c>
    </row>
    <row r="2" ht="12.75" customHeight="1"/>
    <row r="3" ht="12.75" customHeight="1">
      <c r="B3" s="2" t="s">
        <v>1</v>
      </c>
    </row>
    <row r="4" ht="12.75" customHeight="1">
      <c r="B4" s="3" t="s">
        <v>2</v>
      </c>
      <c r="C4" s="3" t="s">
        <v>3</v>
      </c>
    </row>
    <row r="5" ht="12.75" customHeight="1">
      <c r="B5" s="3" t="s">
        <v>4</v>
      </c>
      <c r="C5" s="3" t="s">
        <v>5</v>
      </c>
    </row>
    <row r="6" ht="12.75" customHeight="1">
      <c r="B6" s="3">
        <v>5.0</v>
      </c>
      <c r="C6" s="3">
        <v>0.99999</v>
      </c>
    </row>
    <row r="7" ht="12.75" customHeight="1">
      <c r="B7" s="3">
        <v>10.0</v>
      </c>
      <c r="C7" s="3">
        <v>0.99973</v>
      </c>
    </row>
    <row r="8" ht="12.75" customHeight="1">
      <c r="B8" s="3">
        <v>15.0</v>
      </c>
      <c r="C8" s="3">
        <v>0.99913</v>
      </c>
    </row>
    <row r="9" ht="12.75" customHeight="1">
      <c r="B9" s="3">
        <v>18.0</v>
      </c>
      <c r="C9" s="3">
        <v>0.99862</v>
      </c>
    </row>
    <row r="10" ht="12.75" customHeight="1">
      <c r="B10" s="3">
        <v>20.0</v>
      </c>
      <c r="C10" s="3">
        <v>0.99823</v>
      </c>
    </row>
    <row r="11" ht="12.75" customHeight="1">
      <c r="B11" s="3">
        <v>25.0</v>
      </c>
      <c r="C11" s="3">
        <v>0.99707</v>
      </c>
    </row>
    <row r="12" ht="12.75" customHeight="1">
      <c r="B12" s="3">
        <v>30.0</v>
      </c>
      <c r="C12" s="3">
        <v>0.99567</v>
      </c>
    </row>
    <row r="13" ht="12.75" customHeight="1">
      <c r="B13" s="3">
        <v>35.0</v>
      </c>
      <c r="C13" s="3">
        <v>0.99406</v>
      </c>
    </row>
    <row r="14" ht="12.75" customHeight="1">
      <c r="B14" s="3">
        <v>38.0</v>
      </c>
      <c r="C14" s="3">
        <v>0.99299</v>
      </c>
    </row>
    <row r="15" ht="12.75" customHeight="1">
      <c r="B15" s="3">
        <v>40.0</v>
      </c>
      <c r="C15" s="3">
        <v>0.99224</v>
      </c>
    </row>
    <row r="16" ht="12.75" customHeight="1"/>
    <row r="17" ht="12.75" customHeight="1"/>
    <row r="18" ht="12.75" customHeight="1"/>
    <row r="19" ht="12.75" customHeight="1">
      <c r="L19" s="3"/>
      <c r="M19" s="4"/>
    </row>
    <row r="20" ht="12.75" customHeight="1">
      <c r="K20" s="5" t="s">
        <v>6</v>
      </c>
      <c r="L20" s="3"/>
      <c r="M20" s="4">
        <v>7.248</v>
      </c>
    </row>
    <row r="21" ht="12.75" customHeight="1">
      <c r="K21" s="5" t="s">
        <v>7</v>
      </c>
      <c r="L21" s="3"/>
      <c r="M21" s="4">
        <v>3.913</v>
      </c>
    </row>
    <row r="22" ht="12.75" customHeight="1">
      <c r="K22" s="5" t="s">
        <v>8</v>
      </c>
      <c r="L22" s="3"/>
      <c r="M22" s="4">
        <v>3.998</v>
      </c>
    </row>
    <row r="23" ht="12.75" customHeight="1">
      <c r="K23" s="5" t="s">
        <v>9</v>
      </c>
      <c r="L23" s="3"/>
      <c r="M23" s="4">
        <v>28.7</v>
      </c>
    </row>
    <row r="24" ht="12.75" customHeight="1">
      <c r="K24" s="5" t="s">
        <v>10</v>
      </c>
      <c r="L24" s="3"/>
      <c r="M24" s="4">
        <v>28.2</v>
      </c>
    </row>
    <row r="25" ht="12.75" customHeight="1"/>
    <row r="26" ht="12.75" customHeight="1"/>
    <row r="27" ht="12.75" customHeight="1"/>
    <row r="28" ht="12.75" customHeight="1">
      <c r="B28" s="5" t="s">
        <v>11</v>
      </c>
      <c r="J28" s="1" t="s">
        <v>12</v>
      </c>
    </row>
    <row r="29" ht="12.75" customHeight="1">
      <c r="C29" s="5" t="s">
        <v>13</v>
      </c>
      <c r="J29" s="1" t="s">
        <v>14</v>
      </c>
    </row>
    <row r="30" ht="12.75" customHeight="1">
      <c r="J30" s="1" t="s">
        <v>15</v>
      </c>
    </row>
    <row r="31" ht="12.75" customHeight="1">
      <c r="J31" s="1" t="s">
        <v>16</v>
      </c>
    </row>
    <row r="32" ht="12.75" customHeight="1">
      <c r="B32" s="5" t="s">
        <v>17</v>
      </c>
      <c r="D32" s="5">
        <v>26.5</v>
      </c>
      <c r="E32" s="5" t="s">
        <v>4</v>
      </c>
      <c r="J32" s="1" t="s">
        <v>18</v>
      </c>
    </row>
    <row r="33" ht="12.75" customHeight="1">
      <c r="B33" s="5" t="s">
        <v>19</v>
      </c>
      <c r="D33" s="6">
        <v>26.5518</v>
      </c>
      <c r="E33" s="5" t="s">
        <v>20</v>
      </c>
      <c r="F33" s="5" t="s">
        <v>21</v>
      </c>
      <c r="J33" s="1" t="s">
        <v>22</v>
      </c>
    </row>
    <row r="34" ht="12.75" customHeight="1">
      <c r="B34" s="5" t="s">
        <v>23</v>
      </c>
      <c r="D34" s="6">
        <v>27.9091</v>
      </c>
      <c r="E34" s="5" t="s">
        <v>20</v>
      </c>
      <c r="F34" s="5" t="s">
        <v>21</v>
      </c>
      <c r="J34" s="1" t="s">
        <v>24</v>
      </c>
    </row>
    <row r="35" ht="12.75" customHeight="1">
      <c r="B35" s="5" t="s">
        <v>25</v>
      </c>
      <c r="D35" s="6">
        <v>47.004</v>
      </c>
      <c r="E35" s="5" t="s">
        <v>20</v>
      </c>
      <c r="F35" s="5" t="s">
        <v>21</v>
      </c>
    </row>
    <row r="36" ht="12.75" customHeight="1">
      <c r="B36" s="5" t="s">
        <v>26</v>
      </c>
      <c r="D36" s="7">
        <v>30.8</v>
      </c>
      <c r="E36" s="5" t="s">
        <v>4</v>
      </c>
      <c r="F36" s="5" t="s">
        <v>21</v>
      </c>
    </row>
    <row r="37" ht="12.75" customHeight="1">
      <c r="B37" s="5" t="s">
        <v>27</v>
      </c>
      <c r="D37" s="5">
        <f>IFERROR(__xludf.DUMMYFUNCTION("(-0.000005*D36^2)+(0.000007*D36)+1.0001"),0.9955724)</f>
        <v>0.9955724</v>
      </c>
      <c r="E37" s="5" t="s">
        <v>28</v>
      </c>
      <c r="F37" s="5" t="s">
        <v>29</v>
      </c>
    </row>
    <row r="38" ht="12.75" customHeight="1">
      <c r="B38" s="5" t="s">
        <v>30</v>
      </c>
      <c r="D38" s="5">
        <f>(D35*D37)/(D35-D34)</f>
        <v>2.450700715</v>
      </c>
      <c r="E38" s="5" t="s">
        <v>28</v>
      </c>
      <c r="F38" s="5" t="s">
        <v>29</v>
      </c>
    </row>
    <row r="39" ht="12.75" customHeight="1">
      <c r="B39" s="5" t="s">
        <v>31</v>
      </c>
      <c r="D39" s="5">
        <v>2.93</v>
      </c>
      <c r="E39" s="5" t="s">
        <v>28</v>
      </c>
      <c r="F39" s="5" t="s">
        <v>32</v>
      </c>
    </row>
    <row r="40" ht="12.75" customHeight="1">
      <c r="B40" s="5" t="s">
        <v>33</v>
      </c>
      <c r="D40" s="5">
        <f>(D38*(D35-D33)/D35)</f>
        <v>1.066339485</v>
      </c>
      <c r="E40" s="5" t="s">
        <v>28</v>
      </c>
      <c r="F40" s="5" t="s">
        <v>34</v>
      </c>
    </row>
    <row r="41" ht="12.75" customHeight="1"/>
    <row r="42" ht="12.75" customHeight="1">
      <c r="B42" s="5" t="s">
        <v>35</v>
      </c>
      <c r="D42" s="6">
        <v>3.2815</v>
      </c>
      <c r="E42" s="5" t="s">
        <v>20</v>
      </c>
      <c r="F42" s="5" t="s">
        <v>21</v>
      </c>
    </row>
    <row r="43" ht="12.75" customHeight="1">
      <c r="B43" s="5" t="s">
        <v>36</v>
      </c>
      <c r="D43" s="8">
        <f>D42/(1-(D40/D39))</f>
        <v>5.159091436</v>
      </c>
      <c r="E43" s="5" t="s">
        <v>20</v>
      </c>
    </row>
    <row r="44" ht="12.75" customHeight="1"/>
    <row r="45" ht="12.75" customHeight="1"/>
    <row r="46" ht="12.75" customHeight="1">
      <c r="C46" s="5" t="s">
        <v>37</v>
      </c>
    </row>
    <row r="47" ht="12.75" customHeight="1">
      <c r="C47" s="5" t="s">
        <v>38</v>
      </c>
      <c r="D47" s="5" t="s">
        <v>39</v>
      </c>
      <c r="E47" s="5" t="s">
        <v>40</v>
      </c>
      <c r="F47" s="5" t="s">
        <v>41</v>
      </c>
    </row>
    <row r="48" ht="12.75" customHeight="1">
      <c r="C48" s="4">
        <v>1.02</v>
      </c>
      <c r="D48" s="5">
        <f t="shared" ref="D48:D66" si="1">5/(1-C48/2.93)</f>
        <v>7.670157068</v>
      </c>
      <c r="E48" s="8">
        <v>100.0</v>
      </c>
      <c r="F48" s="8">
        <v>100.0</v>
      </c>
    </row>
    <row r="49" ht="12.75" customHeight="1">
      <c r="C49" s="4">
        <v>1.021</v>
      </c>
      <c r="D49" s="5">
        <f t="shared" si="1"/>
        <v>7.674174961</v>
      </c>
      <c r="E49" s="8">
        <f t="shared" ref="E49:F49" si="2">100*C49/C$48</f>
        <v>100.0980392</v>
      </c>
      <c r="F49" s="8">
        <f t="shared" si="2"/>
        <v>100.0523834</v>
      </c>
    </row>
    <row r="50" ht="12.75" customHeight="1">
      <c r="C50" s="4">
        <v>1.022</v>
      </c>
      <c r="D50" s="5">
        <f t="shared" si="1"/>
        <v>7.678197065</v>
      </c>
      <c r="E50" s="8">
        <f t="shared" ref="E50:F50" si="3">100*C50/C$48</f>
        <v>100.1960784</v>
      </c>
      <c r="F50" s="8">
        <f t="shared" si="3"/>
        <v>100.1048218</v>
      </c>
    </row>
    <row r="51" ht="12.75" customHeight="1">
      <c r="C51" s="4">
        <v>1.023</v>
      </c>
      <c r="D51" s="5">
        <f t="shared" si="1"/>
        <v>7.682223388</v>
      </c>
      <c r="E51" s="8">
        <f t="shared" ref="E51:F51" si="4">100*C51/C$48</f>
        <v>100.2941176</v>
      </c>
      <c r="F51" s="8">
        <f t="shared" si="4"/>
        <v>100.1573152</v>
      </c>
    </row>
    <row r="52" ht="12.75" customHeight="1">
      <c r="C52" s="4">
        <v>1.024</v>
      </c>
      <c r="D52" s="5">
        <f t="shared" si="1"/>
        <v>7.686253935</v>
      </c>
      <c r="E52" s="8">
        <f t="shared" ref="E52:F52" si="5">100*C52/C$48</f>
        <v>100.3921569</v>
      </c>
      <c r="F52" s="8">
        <f t="shared" si="5"/>
        <v>100.2098636</v>
      </c>
    </row>
    <row r="53" ht="12.75" customHeight="1">
      <c r="C53" s="4">
        <v>1.025</v>
      </c>
      <c r="D53" s="5">
        <f t="shared" si="1"/>
        <v>7.690288714</v>
      </c>
      <c r="E53" s="8">
        <f t="shared" ref="E53:F53" si="6">100*C53/C$48</f>
        <v>100.4901961</v>
      </c>
      <c r="F53" s="8">
        <f t="shared" si="6"/>
        <v>100.2624672</v>
      </c>
    </row>
    <row r="54" ht="12.75" customHeight="1">
      <c r="C54" s="4">
        <v>1.026</v>
      </c>
      <c r="D54" s="5">
        <f t="shared" si="1"/>
        <v>7.694327731</v>
      </c>
      <c r="E54" s="8">
        <f t="shared" ref="E54:F54" si="7">100*C54/C$48</f>
        <v>100.5882353</v>
      </c>
      <c r="F54" s="8">
        <f t="shared" si="7"/>
        <v>100.3151261</v>
      </c>
    </row>
    <row r="55" ht="12.75" customHeight="1">
      <c r="C55" s="4">
        <v>1.027</v>
      </c>
      <c r="D55" s="5">
        <f t="shared" si="1"/>
        <v>7.698370993</v>
      </c>
      <c r="E55" s="8">
        <f t="shared" ref="E55:F55" si="8">100*C55/C$48</f>
        <v>100.6862745</v>
      </c>
      <c r="F55" s="8">
        <f t="shared" si="8"/>
        <v>100.3678403</v>
      </c>
    </row>
    <row r="56" ht="12.75" customHeight="1">
      <c r="C56" s="4">
        <v>1.028</v>
      </c>
      <c r="D56" s="5">
        <f t="shared" si="1"/>
        <v>7.702418507</v>
      </c>
      <c r="E56" s="8">
        <f t="shared" ref="E56:F56" si="9">100*C56/C$48</f>
        <v>100.7843137</v>
      </c>
      <c r="F56" s="8">
        <f t="shared" si="9"/>
        <v>100.4206099</v>
      </c>
    </row>
    <row r="57" ht="12.75" customHeight="1">
      <c r="C57" s="4">
        <v>1.029</v>
      </c>
      <c r="D57" s="5">
        <f t="shared" si="1"/>
        <v>7.706470279</v>
      </c>
      <c r="E57" s="8">
        <f t="shared" ref="E57:F57" si="10">100*C57/C$48</f>
        <v>100.8823529</v>
      </c>
      <c r="F57" s="8">
        <f t="shared" si="10"/>
        <v>100.473435</v>
      </c>
    </row>
    <row r="58" ht="12.75" customHeight="1">
      <c r="C58" s="4">
        <v>1.03</v>
      </c>
      <c r="D58" s="5">
        <f t="shared" si="1"/>
        <v>7.710526316</v>
      </c>
      <c r="E58" s="8">
        <f t="shared" ref="E58:F58" si="11">100*C58/C$48</f>
        <v>100.9803922</v>
      </c>
      <c r="F58" s="8">
        <f t="shared" si="11"/>
        <v>100.5263158</v>
      </c>
    </row>
    <row r="59" ht="12.75" customHeight="1">
      <c r="C59" s="4">
        <v>1.04</v>
      </c>
      <c r="D59" s="5">
        <f t="shared" si="1"/>
        <v>7.751322751</v>
      </c>
      <c r="E59" s="8">
        <f t="shared" ref="E59:F59" si="12">100*C59/C$48</f>
        <v>101.9607843</v>
      </c>
      <c r="F59" s="8">
        <f t="shared" si="12"/>
        <v>101.0582011</v>
      </c>
    </row>
    <row r="60" ht="12.75" customHeight="1">
      <c r="C60" s="4">
        <v>1.05</v>
      </c>
      <c r="D60" s="5">
        <f t="shared" si="1"/>
        <v>7.792553191</v>
      </c>
      <c r="E60" s="8">
        <f t="shared" ref="E60:F60" si="13">100*C60/C$48</f>
        <v>102.9411765</v>
      </c>
      <c r="F60" s="8">
        <f t="shared" si="13"/>
        <v>101.5957447</v>
      </c>
    </row>
    <row r="61" ht="12.75" customHeight="1">
      <c r="C61" s="4">
        <v>1.06</v>
      </c>
      <c r="D61" s="5">
        <f t="shared" si="1"/>
        <v>7.834224599</v>
      </c>
      <c r="E61" s="8">
        <f t="shared" ref="E61:F61" si="14">100*C61/C$48</f>
        <v>103.9215686</v>
      </c>
      <c r="F61" s="8">
        <f t="shared" si="14"/>
        <v>102.1390374</v>
      </c>
    </row>
    <row r="62" ht="12.75" customHeight="1">
      <c r="C62" s="4">
        <v>1.07</v>
      </c>
      <c r="D62" s="5">
        <f t="shared" si="1"/>
        <v>7.876344086</v>
      </c>
      <c r="E62" s="8">
        <f t="shared" ref="E62:F62" si="15">100*C62/C$48</f>
        <v>104.9019608</v>
      </c>
      <c r="F62" s="8">
        <f t="shared" si="15"/>
        <v>102.688172</v>
      </c>
    </row>
    <row r="63" ht="12.75" customHeight="1">
      <c r="C63" s="4">
        <v>1.08</v>
      </c>
      <c r="D63" s="5">
        <f t="shared" si="1"/>
        <v>7.918918919</v>
      </c>
      <c r="E63" s="8">
        <f t="shared" ref="E63:F63" si="16">100*C63/C$48</f>
        <v>105.8823529</v>
      </c>
      <c r="F63" s="8">
        <f t="shared" si="16"/>
        <v>103.2432432</v>
      </c>
    </row>
    <row r="64" ht="12.75" customHeight="1">
      <c r="C64" s="4">
        <v>1.09</v>
      </c>
      <c r="D64" s="5">
        <f t="shared" si="1"/>
        <v>7.961956522</v>
      </c>
      <c r="E64" s="8">
        <f t="shared" ref="E64:F64" si="17">100*C64/C$48</f>
        <v>106.8627451</v>
      </c>
      <c r="F64" s="8">
        <f t="shared" si="17"/>
        <v>103.8043478</v>
      </c>
    </row>
    <row r="65" ht="12.75" customHeight="1">
      <c r="C65" s="4">
        <v>1.01</v>
      </c>
      <c r="D65" s="5">
        <f t="shared" si="1"/>
        <v>7.630208333</v>
      </c>
      <c r="E65" s="8">
        <f t="shared" ref="E65:F65" si="18">100*C65/C$48</f>
        <v>99.01960784</v>
      </c>
      <c r="F65" s="8">
        <f t="shared" si="18"/>
        <v>99.47916667</v>
      </c>
    </row>
    <row r="66" ht="12.75" customHeight="1">
      <c r="C66" s="4">
        <v>1.1</v>
      </c>
      <c r="D66" s="5">
        <f t="shared" si="1"/>
        <v>8.005464481</v>
      </c>
      <c r="E66" s="8">
        <f t="shared" ref="E66:F66" si="19">100*C66/C$48</f>
        <v>107.8431373</v>
      </c>
      <c r="F66" s="8">
        <f t="shared" si="19"/>
        <v>104.3715847</v>
      </c>
    </row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0"/>
    <col customWidth="1" min="3" max="3" width="15.11"/>
    <col customWidth="1" min="4" max="4" width="10.0"/>
    <col customWidth="1" min="5" max="5" width="15.33"/>
    <col customWidth="1" min="6" max="6" width="15.44"/>
    <col customWidth="1" min="7" max="26" width="10.0"/>
  </cols>
  <sheetData>
    <row r="1" ht="12.75" customHeight="1"/>
    <row r="2" ht="12.75" customHeight="1"/>
    <row r="3" ht="12.75" customHeight="1">
      <c r="B3" s="2" t="s">
        <v>1</v>
      </c>
    </row>
    <row r="4" ht="12.75" customHeight="1">
      <c r="B4" s="3" t="s">
        <v>2</v>
      </c>
      <c r="C4" s="3" t="s">
        <v>3</v>
      </c>
    </row>
    <row r="5" ht="12.75" customHeight="1">
      <c r="B5" s="3" t="s">
        <v>4</v>
      </c>
      <c r="C5" s="3" t="s">
        <v>5</v>
      </c>
    </row>
    <row r="6" ht="12.75" customHeight="1">
      <c r="B6" s="3">
        <v>5.0</v>
      </c>
      <c r="C6" s="3">
        <v>0.99999</v>
      </c>
    </row>
    <row r="7" ht="12.75" customHeight="1">
      <c r="B7" s="3">
        <v>10.0</v>
      </c>
      <c r="C7" s="3">
        <v>0.99973</v>
      </c>
    </row>
    <row r="8" ht="12.75" customHeight="1">
      <c r="B8" s="3">
        <v>15.0</v>
      </c>
      <c r="C8" s="3">
        <v>0.99913</v>
      </c>
    </row>
    <row r="9" ht="12.75" customHeight="1">
      <c r="B9" s="3">
        <v>18.0</v>
      </c>
      <c r="C9" s="3">
        <v>0.99862</v>
      </c>
    </row>
    <row r="10" ht="12.75" customHeight="1">
      <c r="B10" s="3">
        <v>20.0</v>
      </c>
      <c r="C10" s="3">
        <v>0.99823</v>
      </c>
    </row>
    <row r="11" ht="12.75" customHeight="1">
      <c r="B11" s="3">
        <v>25.0</v>
      </c>
      <c r="C11" s="3">
        <v>0.99707</v>
      </c>
    </row>
    <row r="12" ht="12.75" customHeight="1">
      <c r="B12" s="3">
        <v>30.0</v>
      </c>
      <c r="C12" s="3">
        <v>0.99567</v>
      </c>
    </row>
    <row r="13" ht="12.75" customHeight="1">
      <c r="B13" s="3">
        <v>35.0</v>
      </c>
      <c r="C13" s="3">
        <v>0.99406</v>
      </c>
    </row>
    <row r="14" ht="12.75" customHeight="1">
      <c r="B14" s="3">
        <v>38.0</v>
      </c>
      <c r="C14" s="3">
        <v>0.99299</v>
      </c>
    </row>
    <row r="15" ht="12.75" customHeight="1">
      <c r="B15" s="3">
        <v>40.0</v>
      </c>
      <c r="C15" s="3">
        <v>0.99224</v>
      </c>
    </row>
    <row r="16" ht="12.75" customHeight="1">
      <c r="B16" s="3" t="s">
        <v>42</v>
      </c>
      <c r="C16" s="3" t="s">
        <v>43</v>
      </c>
    </row>
    <row r="17" ht="12.75" customHeight="1"/>
    <row r="18" ht="12.75" customHeight="1"/>
    <row r="19" ht="12.75" customHeight="1">
      <c r="L19" s="3"/>
      <c r="M19" s="4"/>
    </row>
    <row r="20" ht="12.75" customHeight="1">
      <c r="K20" s="5" t="s">
        <v>6</v>
      </c>
      <c r="L20" s="3"/>
      <c r="M20" s="4">
        <v>7.248</v>
      </c>
    </row>
    <row r="21" ht="12.75" customHeight="1">
      <c r="K21" s="5" t="s">
        <v>7</v>
      </c>
      <c r="L21" s="3"/>
      <c r="M21" s="4">
        <v>3.913</v>
      </c>
    </row>
    <row r="22" ht="12.75" customHeight="1">
      <c r="K22" s="5" t="s">
        <v>8</v>
      </c>
      <c r="L22" s="3"/>
      <c r="M22" s="4">
        <v>3.998</v>
      </c>
    </row>
    <row r="23" ht="12.75" customHeight="1">
      <c r="K23" s="5" t="s">
        <v>9</v>
      </c>
      <c r="L23" s="3"/>
      <c r="M23" s="4">
        <v>28.7</v>
      </c>
    </row>
    <row r="24" ht="12.75" customHeight="1">
      <c r="K24" s="5" t="s">
        <v>10</v>
      </c>
      <c r="L24" s="3"/>
      <c r="M24" s="4">
        <v>28.2</v>
      </c>
    </row>
    <row r="25" ht="12.75" customHeight="1"/>
    <row r="26" ht="12.75" customHeight="1"/>
    <row r="27" ht="12.75" customHeight="1"/>
    <row r="28" ht="12.75" customHeight="1">
      <c r="B28" s="5" t="s">
        <v>11</v>
      </c>
    </row>
    <row r="29" ht="12.75" customHeight="1">
      <c r="B29" s="9" t="s">
        <v>44</v>
      </c>
      <c r="C29" s="5" t="s">
        <v>13</v>
      </c>
    </row>
    <row r="30" ht="12.75" customHeight="1"/>
    <row r="31" ht="12.75" customHeight="1"/>
    <row r="32" ht="12.75" customHeight="1">
      <c r="B32" s="5" t="s">
        <v>17</v>
      </c>
      <c r="D32" s="5">
        <v>29.6</v>
      </c>
      <c r="E32" s="5" t="s">
        <v>4</v>
      </c>
    </row>
    <row r="33" ht="12.75" customHeight="1">
      <c r="B33" s="5" t="s">
        <v>19</v>
      </c>
      <c r="D33" s="10">
        <v>3.82</v>
      </c>
      <c r="E33" s="5" t="s">
        <v>20</v>
      </c>
      <c r="F33" s="5" t="s">
        <v>21</v>
      </c>
    </row>
    <row r="34" ht="12.75" customHeight="1">
      <c r="B34" s="5" t="s">
        <v>23</v>
      </c>
      <c r="D34" s="10">
        <v>3.91</v>
      </c>
      <c r="E34" s="5" t="s">
        <v>20</v>
      </c>
      <c r="F34" s="5" t="s">
        <v>21</v>
      </c>
    </row>
    <row r="35" ht="12.75" customHeight="1">
      <c r="B35" s="5" t="s">
        <v>25</v>
      </c>
      <c r="D35" s="10">
        <v>7.244</v>
      </c>
      <c r="E35" s="5" t="s">
        <v>20</v>
      </c>
      <c r="F35" s="5" t="s">
        <v>21</v>
      </c>
    </row>
    <row r="36" ht="12.75" customHeight="1">
      <c r="B36" s="5" t="s">
        <v>26</v>
      </c>
      <c r="D36" s="11">
        <v>28.2</v>
      </c>
      <c r="E36" s="5" t="s">
        <v>4</v>
      </c>
      <c r="F36" s="5" t="s">
        <v>21</v>
      </c>
    </row>
    <row r="37" ht="12.75" customHeight="1">
      <c r="B37" s="5" t="s">
        <v>27</v>
      </c>
      <c r="D37" s="5">
        <f>IFERROR(__xludf.DUMMYFUNCTION("(-0.000005*D36^2)+(0.000007*D36)+1.0001"),0.9963212)</f>
        <v>0.9963212</v>
      </c>
      <c r="E37" s="5" t="s">
        <v>28</v>
      </c>
      <c r="F37" s="5" t="s">
        <v>29</v>
      </c>
    </row>
    <row r="38" ht="12.75" customHeight="1">
      <c r="B38" s="5" t="s">
        <v>30</v>
      </c>
      <c r="D38" s="5">
        <f>(D35*D37)/(D35-D34)</f>
        <v>2.164772277</v>
      </c>
      <c r="E38" s="5" t="s">
        <v>28</v>
      </c>
      <c r="F38" s="5" t="s">
        <v>29</v>
      </c>
    </row>
    <row r="39" ht="12.75" customHeight="1">
      <c r="B39" s="5" t="s">
        <v>31</v>
      </c>
      <c r="D39" s="5">
        <v>2.93</v>
      </c>
      <c r="E39" s="5" t="s">
        <v>28</v>
      </c>
      <c r="F39" s="5" t="s">
        <v>32</v>
      </c>
    </row>
    <row r="40" ht="12.75" customHeight="1">
      <c r="B40" s="5" t="s">
        <v>33</v>
      </c>
      <c r="D40" s="5">
        <f>(D38*(D35-D33)/D35)</f>
        <v>1.023216493</v>
      </c>
      <c r="E40" s="5" t="s">
        <v>28</v>
      </c>
      <c r="F40" s="5" t="s">
        <v>34</v>
      </c>
    </row>
    <row r="41" ht="12.75" customHeight="1"/>
    <row r="42" ht="12.75" customHeight="1">
      <c r="B42" s="5" t="s">
        <v>35</v>
      </c>
      <c r="D42" s="5">
        <v>40.229</v>
      </c>
      <c r="E42" s="5" t="s">
        <v>20</v>
      </c>
      <c r="F42" s="5" t="s">
        <v>21</v>
      </c>
      <c r="G42" s="5">
        <v>27.7</v>
      </c>
      <c r="H42" s="5">
        <v>61.817</v>
      </c>
    </row>
    <row r="43" ht="12.75" customHeight="1">
      <c r="B43" s="5" t="s">
        <v>36</v>
      </c>
      <c r="D43" s="8">
        <f>D42/(1-(D40/D39))</f>
        <v>61.8166507</v>
      </c>
      <c r="E43" s="5" t="s">
        <v>20</v>
      </c>
      <c r="G43" s="5">
        <v>29.6</v>
      </c>
    </row>
    <row r="44" ht="12.75" customHeight="1"/>
    <row r="45" ht="12.75" customHeight="1"/>
    <row r="46" ht="12.75" customHeight="1">
      <c r="C46" s="5" t="s">
        <v>37</v>
      </c>
    </row>
    <row r="47" ht="12.75" customHeight="1">
      <c r="C47" s="5" t="s">
        <v>38</v>
      </c>
      <c r="D47" s="5" t="s">
        <v>39</v>
      </c>
      <c r="E47" s="5" t="s">
        <v>40</v>
      </c>
      <c r="F47" s="5" t="s">
        <v>41</v>
      </c>
    </row>
    <row r="48" ht="12.75" customHeight="1">
      <c r="C48" s="4">
        <v>1.02</v>
      </c>
      <c r="D48" s="5">
        <f t="shared" ref="D48:D66" si="1">5/(1-C48/2.93)</f>
        <v>7.670157068</v>
      </c>
      <c r="E48" s="8">
        <v>100.0</v>
      </c>
      <c r="F48" s="8">
        <v>100.0</v>
      </c>
    </row>
    <row r="49" ht="12.75" customHeight="1">
      <c r="C49" s="4">
        <v>1.021</v>
      </c>
      <c r="D49" s="5">
        <f t="shared" si="1"/>
        <v>7.674174961</v>
      </c>
      <c r="E49" s="8">
        <f t="shared" ref="E49:F49" si="2">100*C49/C$48</f>
        <v>100.0980392</v>
      </c>
      <c r="F49" s="8">
        <f t="shared" si="2"/>
        <v>100.0523834</v>
      </c>
    </row>
    <row r="50" ht="12.75" customHeight="1">
      <c r="C50" s="4">
        <v>1.022</v>
      </c>
      <c r="D50" s="5">
        <f t="shared" si="1"/>
        <v>7.678197065</v>
      </c>
      <c r="E50" s="8">
        <f t="shared" ref="E50:F50" si="3">100*C50/C$48</f>
        <v>100.1960784</v>
      </c>
      <c r="F50" s="8">
        <f t="shared" si="3"/>
        <v>100.1048218</v>
      </c>
    </row>
    <row r="51" ht="12.75" customHeight="1">
      <c r="C51" s="4">
        <v>1.023</v>
      </c>
      <c r="D51" s="5">
        <f t="shared" si="1"/>
        <v>7.682223388</v>
      </c>
      <c r="E51" s="8">
        <f t="shared" ref="E51:F51" si="4">100*C51/C$48</f>
        <v>100.2941176</v>
      </c>
      <c r="F51" s="8">
        <f t="shared" si="4"/>
        <v>100.1573152</v>
      </c>
    </row>
    <row r="52" ht="12.75" customHeight="1">
      <c r="C52" s="4">
        <v>1.024</v>
      </c>
      <c r="D52" s="5">
        <f t="shared" si="1"/>
        <v>7.686253935</v>
      </c>
      <c r="E52" s="8">
        <f t="shared" ref="E52:F52" si="5">100*C52/C$48</f>
        <v>100.3921569</v>
      </c>
      <c r="F52" s="8">
        <f t="shared" si="5"/>
        <v>100.2098636</v>
      </c>
    </row>
    <row r="53" ht="12.75" customHeight="1">
      <c r="C53" s="4">
        <v>1.025</v>
      </c>
      <c r="D53" s="5">
        <f t="shared" si="1"/>
        <v>7.690288714</v>
      </c>
      <c r="E53" s="8">
        <f t="shared" ref="E53:F53" si="6">100*C53/C$48</f>
        <v>100.4901961</v>
      </c>
      <c r="F53" s="8">
        <f t="shared" si="6"/>
        <v>100.2624672</v>
      </c>
    </row>
    <row r="54" ht="12.75" customHeight="1">
      <c r="C54" s="4">
        <v>1.026</v>
      </c>
      <c r="D54" s="5">
        <f t="shared" si="1"/>
        <v>7.694327731</v>
      </c>
      <c r="E54" s="8">
        <f t="shared" ref="E54:F54" si="7">100*C54/C$48</f>
        <v>100.5882353</v>
      </c>
      <c r="F54" s="8">
        <f t="shared" si="7"/>
        <v>100.3151261</v>
      </c>
    </row>
    <row r="55" ht="12.75" customHeight="1">
      <c r="C55" s="4">
        <v>1.027</v>
      </c>
      <c r="D55" s="5">
        <f t="shared" si="1"/>
        <v>7.698370993</v>
      </c>
      <c r="E55" s="8">
        <f t="shared" ref="E55:F55" si="8">100*C55/C$48</f>
        <v>100.6862745</v>
      </c>
      <c r="F55" s="8">
        <f t="shared" si="8"/>
        <v>100.3678403</v>
      </c>
    </row>
    <row r="56" ht="12.75" customHeight="1">
      <c r="C56" s="4">
        <v>1.028</v>
      </c>
      <c r="D56" s="5">
        <f t="shared" si="1"/>
        <v>7.702418507</v>
      </c>
      <c r="E56" s="8">
        <f t="shared" ref="E56:F56" si="9">100*C56/C$48</f>
        <v>100.7843137</v>
      </c>
      <c r="F56" s="8">
        <f t="shared" si="9"/>
        <v>100.4206099</v>
      </c>
    </row>
    <row r="57" ht="12.75" customHeight="1">
      <c r="C57" s="4">
        <v>1.029</v>
      </c>
      <c r="D57" s="5">
        <f t="shared" si="1"/>
        <v>7.706470279</v>
      </c>
      <c r="E57" s="8">
        <f t="shared" ref="E57:F57" si="10">100*C57/C$48</f>
        <v>100.8823529</v>
      </c>
      <c r="F57" s="8">
        <f t="shared" si="10"/>
        <v>100.473435</v>
      </c>
    </row>
    <row r="58" ht="12.75" customHeight="1">
      <c r="C58" s="4">
        <v>1.03</v>
      </c>
      <c r="D58" s="5">
        <f t="shared" si="1"/>
        <v>7.710526316</v>
      </c>
      <c r="E58" s="8">
        <f t="shared" ref="E58:F58" si="11">100*C58/C$48</f>
        <v>100.9803922</v>
      </c>
      <c r="F58" s="8">
        <f t="shared" si="11"/>
        <v>100.5263158</v>
      </c>
    </row>
    <row r="59" ht="12.75" customHeight="1">
      <c r="C59" s="4">
        <v>1.04</v>
      </c>
      <c r="D59" s="5">
        <f t="shared" si="1"/>
        <v>7.751322751</v>
      </c>
      <c r="E59" s="8">
        <f t="shared" ref="E59:F59" si="12">100*C59/C$48</f>
        <v>101.9607843</v>
      </c>
      <c r="F59" s="8">
        <f t="shared" si="12"/>
        <v>101.0582011</v>
      </c>
    </row>
    <row r="60" ht="12.75" customHeight="1">
      <c r="C60" s="4">
        <v>1.05</v>
      </c>
      <c r="D60" s="5">
        <f t="shared" si="1"/>
        <v>7.792553191</v>
      </c>
      <c r="E60" s="8">
        <f t="shared" ref="E60:F60" si="13">100*C60/C$48</f>
        <v>102.9411765</v>
      </c>
      <c r="F60" s="8">
        <f t="shared" si="13"/>
        <v>101.5957447</v>
      </c>
    </row>
    <row r="61" ht="12.75" customHeight="1">
      <c r="C61" s="4">
        <v>1.06</v>
      </c>
      <c r="D61" s="5">
        <f t="shared" si="1"/>
        <v>7.834224599</v>
      </c>
      <c r="E61" s="8">
        <f t="shared" ref="E61:F61" si="14">100*C61/C$48</f>
        <v>103.9215686</v>
      </c>
      <c r="F61" s="8">
        <f t="shared" si="14"/>
        <v>102.1390374</v>
      </c>
    </row>
    <row r="62" ht="12.75" customHeight="1">
      <c r="C62" s="4">
        <v>1.07</v>
      </c>
      <c r="D62" s="5">
        <f t="shared" si="1"/>
        <v>7.876344086</v>
      </c>
      <c r="E62" s="8">
        <f t="shared" ref="E62:F62" si="15">100*C62/C$48</f>
        <v>104.9019608</v>
      </c>
      <c r="F62" s="8">
        <f t="shared" si="15"/>
        <v>102.688172</v>
      </c>
    </row>
    <row r="63" ht="12.75" customHeight="1">
      <c r="C63" s="4">
        <v>1.08</v>
      </c>
      <c r="D63" s="5">
        <f t="shared" si="1"/>
        <v>7.918918919</v>
      </c>
      <c r="E63" s="8">
        <f t="shared" ref="E63:F63" si="16">100*C63/C$48</f>
        <v>105.8823529</v>
      </c>
      <c r="F63" s="8">
        <f t="shared" si="16"/>
        <v>103.2432432</v>
      </c>
    </row>
    <row r="64" ht="12.75" customHeight="1">
      <c r="C64" s="4">
        <v>1.09</v>
      </c>
      <c r="D64" s="5">
        <f t="shared" si="1"/>
        <v>7.961956522</v>
      </c>
      <c r="E64" s="8">
        <f t="shared" ref="E64:F64" si="17">100*C64/C$48</f>
        <v>106.8627451</v>
      </c>
      <c r="F64" s="8">
        <f t="shared" si="17"/>
        <v>103.8043478</v>
      </c>
    </row>
    <row r="65" ht="12.75" customHeight="1">
      <c r="C65" s="4">
        <v>1.01</v>
      </c>
      <c r="D65" s="5">
        <f t="shared" si="1"/>
        <v>7.630208333</v>
      </c>
      <c r="E65" s="8">
        <f t="shared" ref="E65:F65" si="18">100*C65/C$48</f>
        <v>99.01960784</v>
      </c>
      <c r="F65" s="8">
        <f t="shared" si="18"/>
        <v>99.47916667</v>
      </c>
    </row>
    <row r="66" ht="12.75" customHeight="1">
      <c r="C66" s="4">
        <v>1.1</v>
      </c>
      <c r="D66" s="5">
        <f t="shared" si="1"/>
        <v>8.005464481</v>
      </c>
      <c r="E66" s="8">
        <f t="shared" ref="E66:F66" si="19">100*C66/C$48</f>
        <v>107.8431373</v>
      </c>
      <c r="F66" s="8">
        <f t="shared" si="19"/>
        <v>104.3715847</v>
      </c>
    </row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2004-10-06T03:06:59Z</dcterms:created>
  <dc:creator>Peter Edmunds</dc:creator>
</cp:coreProperties>
</file>