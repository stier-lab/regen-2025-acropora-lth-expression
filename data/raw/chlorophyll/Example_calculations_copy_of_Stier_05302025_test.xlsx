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ad 1" sheetId="2" r:id="rId5"/>
    <sheet state="visible" name="Read 2" sheetId="3" r:id="rId6"/>
    <sheet state="visible" name="Surface Area" sheetId="4" r:id="rId7"/>
    <sheet state="visible" name="read 1 versus read 2" sheetId="5" r:id="rId8"/>
  </sheets>
  <definedNames/>
  <calcPr/>
  <extLst>
    <ext uri="GoogleSheetsCustomDataVersion2">
      <go:sheetsCustomData xmlns:go="http://customooxmlschemas.google.com/" r:id="rId9" roundtripDataChecksum="swvn4CGrX7+SoIUklNPHRLIo16VFv2/fOwpqlqEJqoc="/>
    </ext>
  </extLst>
</workbook>
</file>

<file path=xl/sharedStrings.xml><?xml version="1.0" encoding="utf-8"?>
<sst xmlns="http://schemas.openxmlformats.org/spreadsheetml/2006/main" count="1250" uniqueCount="74">
  <si>
    <t>A</t>
  </si>
  <si>
    <t>unblanked, not path corrected</t>
  </si>
  <si>
    <t>B</t>
  </si>
  <si>
    <t>C</t>
  </si>
  <si>
    <t>D</t>
  </si>
  <si>
    <t>E</t>
  </si>
  <si>
    <t>F</t>
  </si>
  <si>
    <t>G</t>
  </si>
  <si>
    <t>H</t>
  </si>
  <si>
    <t>Read 1:977 [Test]</t>
  </si>
  <si>
    <t>path test</t>
  </si>
  <si>
    <t>Read 1:900 [Ref]</t>
  </si>
  <si>
    <t>Read 1:632</t>
  </si>
  <si>
    <t>Read 2:632</t>
  </si>
  <si>
    <t>Read 1:649</t>
  </si>
  <si>
    <t>Read 2:649</t>
  </si>
  <si>
    <t>Read 1:665</t>
  </si>
  <si>
    <t>Read 2:665</t>
  </si>
  <si>
    <t>Read 1:696</t>
  </si>
  <si>
    <t>Read 2:696</t>
  </si>
  <si>
    <t>Blank Read 1:632</t>
  </si>
  <si>
    <t>Blank Read 1:649</t>
  </si>
  <si>
    <t>Blank Read 1:665</t>
  </si>
  <si>
    <t>Blank Read 1:696</t>
  </si>
  <si>
    <t>Blank Read 2:632</t>
  </si>
  <si>
    <t>Blank Read 2:649</t>
  </si>
  <si>
    <t>Blank Read 2:665</t>
  </si>
  <si>
    <t>Blank Read 2:696</t>
  </si>
  <si>
    <t>Corrected [Blank Read 1:632]</t>
  </si>
  <si>
    <t>Corrected [Blank Read 1:649]</t>
  </si>
  <si>
    <t>Corrected [Blank Read 1:665]</t>
  </si>
  <si>
    <t>Corrected [Blank Read 1:696]</t>
  </si>
  <si>
    <t>plate</t>
  </si>
  <si>
    <t>Platereader well ID</t>
  </si>
  <si>
    <t>value</t>
  </si>
  <si>
    <t>sample ID</t>
  </si>
  <si>
    <t>average blank</t>
  </si>
  <si>
    <t>blank corrected value</t>
  </si>
  <si>
    <t>replicate</t>
  </si>
  <si>
    <t>blank</t>
  </si>
  <si>
    <t>chlorophyll a calculation</t>
  </si>
  <si>
    <t>0.0604(A632)-4.5224(A649)+13.269(A665)-1.7453(A696)</t>
  </si>
  <si>
    <t>chlorophyll b calculation</t>
  </si>
  <si>
    <t>-4.1982(A632)+25.7205(A649)-7.4096(A665)-2.7418(A696)</t>
  </si>
  <si>
    <t>chlorophyll c calculation</t>
  </si>
  <si>
    <t>28.4593(A632)-9.9944(A649)-1.9344(A665)-1.8093(A696)</t>
  </si>
  <si>
    <t>chlorophyll d calculation</t>
  </si>
  <si>
    <t>-0.2007(A632)+0.0848(A649)-0.1909(A665)-12.1302(A696)</t>
  </si>
  <si>
    <t>total chlorophyll</t>
  </si>
  <si>
    <t>24.1209(A632)+11.2884(A649)+3.7620(A665)+5.8338(A696)</t>
  </si>
  <si>
    <t>Calculate chlorophyll for each well using the calculations above</t>
  </si>
  <si>
    <t>cl_a</t>
  </si>
  <si>
    <t>cl_b</t>
  </si>
  <si>
    <t>cl_c</t>
  </si>
  <si>
    <t>cl_d</t>
  </si>
  <si>
    <t>total_cl</t>
  </si>
  <si>
    <t>Average the chlorophyll a, b, c, d, total values</t>
  </si>
  <si>
    <t>cl_a_avg</t>
  </si>
  <si>
    <t>cl_b_avg</t>
  </si>
  <si>
    <t>cl_c_avg</t>
  </si>
  <si>
    <t>cl_d_avg</t>
  </si>
  <si>
    <t>total_cl_avg</t>
  </si>
  <si>
    <t>Convert cl in ug/mL to ug by multiplying by 350uL volume</t>
  </si>
  <si>
    <t>cl_a_avg*350ul</t>
  </si>
  <si>
    <t>cl_b_avg*350ul</t>
  </si>
  <si>
    <t>cl_c_avg*350ul</t>
  </si>
  <si>
    <t>cl_d_avg*350ul</t>
  </si>
  <si>
    <t>cl_total_avg*350ul</t>
  </si>
  <si>
    <t>Convert to cl in ug/cm^2 by dividing ug by surface area</t>
  </si>
  <si>
    <t>cl_total</t>
  </si>
  <si>
    <t>surface area estimate</t>
  </si>
  <si>
    <t>SA</t>
  </si>
  <si>
    <t>NA</t>
  </si>
  <si>
    <t>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</si>
</sst>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rgb="FF27413E"/>
      <name val="Arial"/>
    </font>
    <font>
      <sz val="10.0"/>
      <color rgb="FF000000"/>
      <name val="Arial"/>
    </font>
    <font>
      <sz val="7.0"/>
      <color rgb="FF000000"/>
      <name val="Arial"/>
    </font>
    <font>
      <color theme="1"/>
      <name val="Arial"/>
    </font>
    <font>
      <color theme="1"/>
      <name val="Aptos Narrow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D8E9F9"/>
        <bgColor rgb="FFD8E9F9"/>
      </patternFill>
    </fill>
    <fill>
      <patternFill patternType="solid">
        <fgColor rgb="FFFFFFFF"/>
        <bgColor rgb="FFFFFFFF"/>
      </patternFill>
    </fill>
    <fill>
      <patternFill patternType="solid">
        <fgColor rgb="FFABCEEA"/>
        <bgColor rgb="FFABCEEA"/>
      </patternFill>
    </fill>
    <fill>
      <patternFill patternType="solid">
        <fgColor rgb="FFC9E0F4"/>
        <bgColor rgb="FFC9E0F4"/>
      </patternFill>
    </fill>
    <fill>
      <patternFill patternType="solid">
        <fgColor rgb="FF247CBD"/>
        <bgColor rgb="FF247CBD"/>
      </patternFill>
    </fill>
    <fill>
      <patternFill patternType="solid">
        <fgColor rgb="FF9CC5E5"/>
        <bgColor rgb="FF9CC5E5"/>
      </patternFill>
    </fill>
    <fill>
      <patternFill patternType="solid">
        <fgColor rgb="FFBAD7EF"/>
        <bgColor rgb="FFBAD7EF"/>
      </patternFill>
    </fill>
    <fill>
      <patternFill patternType="solid">
        <fgColor rgb="FF5197CC"/>
        <bgColor rgb="FF5197CC"/>
      </patternFill>
    </fill>
    <fill>
      <patternFill patternType="solid">
        <fgColor rgb="FF7EB2DB"/>
        <bgColor rgb="FF7EB2DB"/>
      </patternFill>
    </fill>
    <fill>
      <patternFill patternType="solid">
        <fgColor rgb="FF8DBCE0"/>
        <bgColor rgb="FF8DBCE0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3385C2"/>
        <bgColor rgb="FF3385C2"/>
      </patternFill>
    </fill>
    <fill>
      <patternFill patternType="solid">
        <fgColor rgb="FF6FA9D6"/>
        <bgColor rgb="FF6FA9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  <xf borderId="1" fillId="16" fontId="3" numFmtId="0" xfId="0" applyAlignment="1" applyBorder="1" applyFill="1" applyFont="1">
      <alignment horizontal="center" shrinkToFit="0" vertical="center" wrapText="1"/>
    </xf>
    <xf borderId="1" fillId="17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6" numFmtId="0" xfId="0" applyFont="1"/>
    <xf borderId="0" fillId="0" fontId="6" numFmtId="164" xfId="0" applyFont="1" applyNumberFormat="1"/>
    <xf borderId="0" fillId="0" fontId="5" numFmtId="165" xfId="0" applyAlignment="1" applyFont="1" applyNumberFormat="1">
      <alignment readingOrder="0"/>
    </xf>
    <xf borderId="0" fillId="0" fontId="6" numFmtId="165" xfId="0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cl_a, cl_b, cl_c, cl_d and cl_total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'Read 2'!$B$244:$B$245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'Read 2'!$A$246:$A$256</c:f>
            </c:strRef>
          </c:cat>
          <c:val>
            <c:numRef>
              <c:f>'Read 2'!$B$246:$B$256</c:f>
              <c:numCache/>
            </c:numRef>
          </c:val>
        </c:ser>
        <c:ser>
          <c:idx val="1"/>
          <c:order val="1"/>
          <c:tx>
            <c:strRef>
              <c:f>'Read 2'!$C$244:$C$245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'Read 2'!$A$246:$A$256</c:f>
            </c:strRef>
          </c:cat>
          <c:val>
            <c:numRef>
              <c:f>'Read 2'!$C$246:$C$256</c:f>
              <c:numCache/>
            </c:numRef>
          </c:val>
        </c:ser>
        <c:ser>
          <c:idx val="2"/>
          <c:order val="2"/>
          <c:tx>
            <c:strRef>
              <c:f>'Read 2'!$D$244:$D$245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'Read 2'!$A$246:$A$256</c:f>
            </c:strRef>
          </c:cat>
          <c:val>
            <c:numRef>
              <c:f>'Read 2'!$D$246:$D$256</c:f>
              <c:numCache/>
            </c:numRef>
          </c:val>
        </c:ser>
        <c:ser>
          <c:idx val="3"/>
          <c:order val="3"/>
          <c:tx>
            <c:strRef>
              <c:f>'Read 2'!$E$244:$E$245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'Read 2'!$A$246:$A$256</c:f>
            </c:strRef>
          </c:cat>
          <c:val>
            <c:numRef>
              <c:f>'Read 2'!$E$246:$E$256</c:f>
              <c:numCache/>
            </c:numRef>
          </c:val>
        </c:ser>
        <c:ser>
          <c:idx val="4"/>
          <c:order val="4"/>
          <c:tx>
            <c:strRef>
              <c:f>'Read 2'!$F$244:$F$245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'Read 2'!$A$246:$A$256</c:f>
            </c:strRef>
          </c:cat>
          <c:val>
            <c:numRef>
              <c:f>'Read 2'!$F$246:$F$256</c:f>
              <c:numCache/>
            </c:numRef>
          </c:val>
        </c:ser>
        <c:axId val="1925284165"/>
        <c:axId val="463023036"/>
      </c:barChart>
      <c:catAx>
        <c:axId val="1925284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sample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023036"/>
      </c:catAx>
      <c:valAx>
        <c:axId val="463023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284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ID and cl_a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'read 1 versus read 2'!$B$5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2'!$C$5</c:f>
              <c:numCache/>
            </c:numRef>
          </c:val>
        </c:ser>
        <c:ser>
          <c:idx val="1"/>
          <c:order val="1"/>
          <c:tx>
            <c:strRef>
              <c:f>'read 1 versus read 2'!$B$6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2'!$C$6</c:f>
              <c:numCache/>
            </c:numRef>
          </c:val>
        </c:ser>
        <c:ser>
          <c:idx val="2"/>
          <c:order val="2"/>
          <c:tx>
            <c:strRef>
              <c:f>'read 1 versus read 2'!$B$7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2'!$C$7</c:f>
              <c:numCache/>
            </c:numRef>
          </c:val>
        </c:ser>
        <c:ser>
          <c:idx val="3"/>
          <c:order val="3"/>
          <c:tx>
            <c:strRef>
              <c:f>'read 1 versus read 2'!$B$8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2'!$C$8</c:f>
              <c:numCache/>
            </c:numRef>
          </c:val>
        </c:ser>
        <c:ser>
          <c:idx val="4"/>
          <c:order val="4"/>
          <c:tx>
            <c:strRef>
              <c:f>'read 1 versus read 2'!$B$9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2'!$C$9</c:f>
              <c:numCache/>
            </c:numRef>
          </c:val>
        </c:ser>
        <c:ser>
          <c:idx val="5"/>
          <c:order val="5"/>
          <c:tx>
            <c:strRef>
              <c:f>'read 1 versus read 2'!$B$10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2'!$C$10</c:f>
              <c:numCache/>
            </c:numRef>
          </c:val>
        </c:ser>
        <c:ser>
          <c:idx val="6"/>
          <c:order val="6"/>
          <c:tx>
            <c:strRef>
              <c:f>'read 1 versus read 2'!$B$11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2'!$C$11</c:f>
              <c:numCache/>
            </c:numRef>
          </c:val>
        </c:ser>
        <c:ser>
          <c:idx val="7"/>
          <c:order val="7"/>
          <c:tx>
            <c:strRef>
              <c:f>'read 1 versus read 2'!$B$12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2'!$C$12</c:f>
              <c:numCache/>
            </c:numRef>
          </c:val>
        </c:ser>
        <c:ser>
          <c:idx val="8"/>
          <c:order val="8"/>
          <c:tx>
            <c:strRef>
              <c:f>'read 1 versus read 2'!$B$13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2'!$C$13</c:f>
              <c:numCache/>
            </c:numRef>
          </c:val>
        </c:ser>
        <c:ser>
          <c:idx val="9"/>
          <c:order val="9"/>
          <c:tx>
            <c:strRef>
              <c:f>'read 1 versus read 2'!$B$14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2'!$C$14</c:f>
              <c:numCache/>
            </c:numRef>
          </c:val>
        </c:ser>
        <c:axId val="866863285"/>
        <c:axId val="258620607"/>
      </c:barChart>
      <c:catAx>
        <c:axId val="866863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620607"/>
      </c:catAx>
      <c:valAx>
        <c:axId val="258620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863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ID and cl_a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'read 1 versus read 2'!$B$16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2'!$C$16</c:f>
              <c:numCache/>
            </c:numRef>
          </c:val>
        </c:ser>
        <c:ser>
          <c:idx val="1"/>
          <c:order val="1"/>
          <c:tx>
            <c:strRef>
              <c:f>'read 1 versus read 2'!$B$17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2'!$C$17</c:f>
              <c:numCache/>
            </c:numRef>
          </c:val>
        </c:ser>
        <c:ser>
          <c:idx val="2"/>
          <c:order val="2"/>
          <c:tx>
            <c:strRef>
              <c:f>'read 1 versus read 2'!$B$18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2'!$C$18</c:f>
              <c:numCache/>
            </c:numRef>
          </c:val>
        </c:ser>
        <c:ser>
          <c:idx val="3"/>
          <c:order val="3"/>
          <c:tx>
            <c:strRef>
              <c:f>'read 1 versus read 2'!$B$19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2'!$C$19</c:f>
              <c:numCache/>
            </c:numRef>
          </c:val>
        </c:ser>
        <c:ser>
          <c:idx val="4"/>
          <c:order val="4"/>
          <c:tx>
            <c:strRef>
              <c:f>'read 1 versus read 2'!$B$20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2'!$C$20</c:f>
              <c:numCache/>
            </c:numRef>
          </c:val>
        </c:ser>
        <c:ser>
          <c:idx val="5"/>
          <c:order val="5"/>
          <c:tx>
            <c:strRef>
              <c:f>'read 1 versus read 2'!$B$21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2'!$C$21</c:f>
              <c:numCache/>
            </c:numRef>
          </c:val>
        </c:ser>
        <c:ser>
          <c:idx val="6"/>
          <c:order val="6"/>
          <c:tx>
            <c:strRef>
              <c:f>'read 1 versus read 2'!$B$22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2'!$C$22</c:f>
              <c:numCache/>
            </c:numRef>
          </c:val>
        </c:ser>
        <c:ser>
          <c:idx val="7"/>
          <c:order val="7"/>
          <c:tx>
            <c:strRef>
              <c:f>'read 1 versus read 2'!$B$23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2'!$C$23</c:f>
              <c:numCache/>
            </c:numRef>
          </c:val>
        </c:ser>
        <c:ser>
          <c:idx val="8"/>
          <c:order val="8"/>
          <c:tx>
            <c:strRef>
              <c:f>'read 1 versus read 2'!$B$24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2'!$C$24</c:f>
              <c:numCache/>
            </c:numRef>
          </c:val>
        </c:ser>
        <c:ser>
          <c:idx val="9"/>
          <c:order val="9"/>
          <c:tx>
            <c:strRef>
              <c:f>'read 1 versus read 2'!$B$25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'read 1 versus read 2'!$C$25</c:f>
              <c:numCache/>
            </c:numRef>
          </c:val>
        </c:ser>
        <c:axId val="1159528241"/>
        <c:axId val="1294496060"/>
      </c:barChart>
      <c:catAx>
        <c:axId val="1159528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496060"/>
      </c:catAx>
      <c:valAx>
        <c:axId val="1294496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528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239</xdr:row>
      <xdr:rowOff>152400</xdr:rowOff>
    </xdr:from>
    <xdr:ext cx="5715000" cy="3533775"/>
    <xdr:graphicFrame>
      <xdr:nvGraphicFramePr>
        <xdr:cNvPr id="42630942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0</xdr:row>
      <xdr:rowOff>0</xdr:rowOff>
    </xdr:from>
    <xdr:ext cx="5715000" cy="3533775"/>
    <xdr:graphicFrame>
      <xdr:nvGraphicFramePr>
        <xdr:cNvPr id="5427435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</xdr:colOff>
      <xdr:row>18</xdr:row>
      <xdr:rowOff>152400</xdr:rowOff>
    </xdr:from>
    <xdr:ext cx="5715000" cy="3533775"/>
    <xdr:graphicFrame>
      <xdr:nvGraphicFramePr>
        <xdr:cNvPr id="112755211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8" width="8.63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2" t="s">
        <v>0</v>
      </c>
      <c r="B2" s="3">
        <v>0.093</v>
      </c>
      <c r="C2" s="4">
        <v>0.097</v>
      </c>
      <c r="D2" s="3">
        <v>0.094</v>
      </c>
      <c r="E2" s="3">
        <v>0.093</v>
      </c>
      <c r="F2" s="3">
        <v>0.089</v>
      </c>
      <c r="G2" s="3">
        <v>0.093</v>
      </c>
      <c r="H2" s="5"/>
      <c r="I2" s="5"/>
      <c r="J2" s="5"/>
      <c r="K2" s="5"/>
      <c r="L2" s="5"/>
      <c r="M2" s="5"/>
      <c r="N2" s="6">
        <v>632.0</v>
      </c>
      <c r="O2" s="7" t="s">
        <v>1</v>
      </c>
    </row>
    <row r="3">
      <c r="A3" s="2" t="s">
        <v>2</v>
      </c>
      <c r="B3" s="4">
        <v>0.098</v>
      </c>
      <c r="C3" s="3">
        <v>0.092</v>
      </c>
      <c r="D3" s="3">
        <v>0.093</v>
      </c>
      <c r="E3" s="3">
        <v>0.089</v>
      </c>
      <c r="F3" s="8">
        <v>0.117</v>
      </c>
      <c r="G3" s="4">
        <v>0.094</v>
      </c>
      <c r="H3" s="5"/>
      <c r="I3" s="5"/>
      <c r="J3" s="5"/>
      <c r="K3" s="5"/>
      <c r="L3" s="5"/>
      <c r="M3" s="5"/>
      <c r="N3" s="6">
        <v>632.0</v>
      </c>
    </row>
    <row r="4">
      <c r="A4" s="2" t="s">
        <v>3</v>
      </c>
      <c r="B4" s="3">
        <v>0.093</v>
      </c>
      <c r="C4" s="9">
        <v>0.103</v>
      </c>
      <c r="D4" s="3">
        <v>0.092</v>
      </c>
      <c r="E4" s="3">
        <v>0.092</v>
      </c>
      <c r="F4" s="4">
        <v>0.094</v>
      </c>
      <c r="G4" s="3">
        <v>0.091</v>
      </c>
      <c r="H4" s="5"/>
      <c r="I4" s="5"/>
      <c r="J4" s="5"/>
      <c r="K4" s="5"/>
      <c r="L4" s="5"/>
      <c r="M4" s="5"/>
      <c r="N4" s="6">
        <v>632.0</v>
      </c>
    </row>
    <row r="5">
      <c r="A5" s="2" t="s">
        <v>4</v>
      </c>
      <c r="B5" s="3">
        <v>0.092</v>
      </c>
      <c r="C5" s="9">
        <v>0.105</v>
      </c>
      <c r="D5" s="3">
        <v>0.091</v>
      </c>
      <c r="E5" s="5"/>
      <c r="F5" s="5"/>
      <c r="G5" s="5"/>
      <c r="H5" s="5"/>
      <c r="I5" s="5"/>
      <c r="J5" s="5"/>
      <c r="K5" s="5"/>
      <c r="L5" s="5"/>
      <c r="M5" s="5"/>
      <c r="N5" s="6">
        <v>632.0</v>
      </c>
    </row>
    <row r="6">
      <c r="A6" s="2" t="s">
        <v>5</v>
      </c>
      <c r="B6" s="10">
        <v>0.186</v>
      </c>
      <c r="C6" s="3">
        <v>0.086</v>
      </c>
      <c r="D6" s="3">
        <v>0.088</v>
      </c>
      <c r="E6" s="5"/>
      <c r="F6" s="5"/>
      <c r="G6" s="5"/>
      <c r="H6" s="5"/>
      <c r="I6" s="5"/>
      <c r="J6" s="5"/>
      <c r="K6" s="5"/>
      <c r="L6" s="5"/>
      <c r="M6" s="5"/>
      <c r="N6" s="6">
        <v>632.0</v>
      </c>
    </row>
    <row r="7">
      <c r="A7" s="2" t="s">
        <v>6</v>
      </c>
      <c r="B7" s="3">
        <v>0.09</v>
      </c>
      <c r="C7" s="3">
        <v>0.09</v>
      </c>
      <c r="D7" s="4">
        <v>0.098</v>
      </c>
      <c r="E7" s="5"/>
      <c r="F7" s="5"/>
      <c r="G7" s="5"/>
      <c r="H7" s="5"/>
      <c r="I7" s="5"/>
      <c r="J7" s="5"/>
      <c r="K7" s="5"/>
      <c r="L7" s="5"/>
      <c r="M7" s="5"/>
      <c r="N7" s="6">
        <v>632.0</v>
      </c>
    </row>
    <row r="8">
      <c r="A8" s="2" t="s">
        <v>7</v>
      </c>
      <c r="B8" s="11">
        <v>0.128</v>
      </c>
      <c r="C8" s="3">
        <v>0.088</v>
      </c>
      <c r="D8" s="3">
        <v>0.09</v>
      </c>
      <c r="E8" s="5"/>
      <c r="F8" s="5"/>
      <c r="G8" s="5"/>
      <c r="H8" s="5"/>
      <c r="I8" s="5"/>
      <c r="J8" s="5"/>
      <c r="K8" s="5"/>
      <c r="L8" s="5"/>
      <c r="M8" s="5"/>
      <c r="N8" s="6">
        <v>632.0</v>
      </c>
    </row>
    <row r="9">
      <c r="A9" s="2" t="s">
        <v>8</v>
      </c>
      <c r="B9" s="3">
        <v>0.089</v>
      </c>
      <c r="C9" s="3">
        <v>0.091</v>
      </c>
      <c r="D9" s="3">
        <v>0.091</v>
      </c>
      <c r="E9" s="5"/>
      <c r="F9" s="5"/>
      <c r="G9" s="5"/>
      <c r="H9" s="5"/>
      <c r="I9" s="5"/>
      <c r="J9" s="5"/>
      <c r="K9" s="5"/>
      <c r="L9" s="5"/>
      <c r="M9" s="5"/>
      <c r="N9" s="6">
        <v>632.0</v>
      </c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</row>
    <row r="12">
      <c r="A12" s="2" t="s">
        <v>0</v>
      </c>
      <c r="B12" s="3">
        <v>0.091</v>
      </c>
      <c r="C12" s="4">
        <v>0.095</v>
      </c>
      <c r="D12" s="3">
        <v>0.091</v>
      </c>
      <c r="E12" s="4">
        <v>0.092</v>
      </c>
      <c r="F12" s="3">
        <v>0.088</v>
      </c>
      <c r="G12" s="3">
        <v>0.091</v>
      </c>
      <c r="H12" s="5"/>
      <c r="I12" s="5"/>
      <c r="J12" s="5"/>
      <c r="K12" s="5"/>
      <c r="L12" s="5"/>
      <c r="M12" s="5"/>
      <c r="N12" s="6">
        <v>649.0</v>
      </c>
      <c r="O12" s="7" t="s">
        <v>1</v>
      </c>
    </row>
    <row r="13">
      <c r="A13" s="2" t="s">
        <v>2</v>
      </c>
      <c r="B13" s="4">
        <v>0.096</v>
      </c>
      <c r="C13" s="3">
        <v>0.089</v>
      </c>
      <c r="D13" s="4">
        <v>0.092</v>
      </c>
      <c r="E13" s="3">
        <v>0.088</v>
      </c>
      <c r="F13" s="8">
        <v>0.116</v>
      </c>
      <c r="G13" s="4">
        <v>0.093</v>
      </c>
      <c r="H13" s="5"/>
      <c r="I13" s="5"/>
      <c r="J13" s="5"/>
      <c r="K13" s="5"/>
      <c r="L13" s="5"/>
      <c r="M13" s="5"/>
      <c r="N13" s="6">
        <v>649.0</v>
      </c>
    </row>
    <row r="14">
      <c r="A14" s="2" t="s">
        <v>3</v>
      </c>
      <c r="B14" s="3">
        <v>0.091</v>
      </c>
      <c r="C14" s="9">
        <v>0.1</v>
      </c>
      <c r="D14" s="3">
        <v>0.091</v>
      </c>
      <c r="E14" s="3">
        <v>0.089</v>
      </c>
      <c r="F14" s="4">
        <v>0.092</v>
      </c>
      <c r="G14" s="3">
        <v>0.089</v>
      </c>
      <c r="H14" s="5"/>
      <c r="I14" s="5"/>
      <c r="J14" s="5"/>
      <c r="K14" s="5"/>
      <c r="L14" s="5"/>
      <c r="M14" s="5"/>
      <c r="N14" s="6">
        <v>649.0</v>
      </c>
    </row>
    <row r="15">
      <c r="A15" s="2" t="s">
        <v>4</v>
      </c>
      <c r="B15" s="3">
        <v>0.09</v>
      </c>
      <c r="C15" s="9">
        <v>0.103</v>
      </c>
      <c r="D15" s="3">
        <v>0.09</v>
      </c>
      <c r="E15" s="5"/>
      <c r="F15" s="5"/>
      <c r="G15" s="5"/>
      <c r="H15" s="5"/>
      <c r="I15" s="5"/>
      <c r="J15" s="5"/>
      <c r="K15" s="5"/>
      <c r="L15" s="5"/>
      <c r="M15" s="5"/>
      <c r="N15" s="6">
        <v>649.0</v>
      </c>
    </row>
    <row r="16">
      <c r="A16" s="2" t="s">
        <v>5</v>
      </c>
      <c r="B16" s="10">
        <v>0.185</v>
      </c>
      <c r="C16" s="3">
        <v>0.085</v>
      </c>
      <c r="D16" s="3">
        <v>0.087</v>
      </c>
      <c r="E16" s="5"/>
      <c r="F16" s="5"/>
      <c r="G16" s="5"/>
      <c r="H16" s="5"/>
      <c r="I16" s="5"/>
      <c r="J16" s="5"/>
      <c r="K16" s="5"/>
      <c r="L16" s="5"/>
      <c r="M16" s="5"/>
      <c r="N16" s="6">
        <v>649.0</v>
      </c>
    </row>
    <row r="17">
      <c r="A17" s="2" t="s">
        <v>6</v>
      </c>
      <c r="B17" s="3">
        <v>0.088</v>
      </c>
      <c r="C17" s="3">
        <v>0.087</v>
      </c>
      <c r="D17" s="4">
        <v>0.097</v>
      </c>
      <c r="E17" s="5"/>
      <c r="F17" s="5"/>
      <c r="G17" s="5"/>
      <c r="H17" s="5"/>
      <c r="I17" s="5"/>
      <c r="J17" s="5"/>
      <c r="K17" s="5"/>
      <c r="L17" s="5"/>
      <c r="M17" s="5"/>
      <c r="N17" s="6">
        <v>649.0</v>
      </c>
    </row>
    <row r="18">
      <c r="A18" s="2" t="s">
        <v>7</v>
      </c>
      <c r="B18" s="11">
        <v>0.125</v>
      </c>
      <c r="C18" s="3">
        <v>0.086</v>
      </c>
      <c r="D18" s="3">
        <v>0.089</v>
      </c>
      <c r="E18" s="5"/>
      <c r="F18" s="5"/>
      <c r="G18" s="5"/>
      <c r="H18" s="5"/>
      <c r="I18" s="5"/>
      <c r="J18" s="5"/>
      <c r="K18" s="5"/>
      <c r="L18" s="5"/>
      <c r="M18" s="5"/>
      <c r="N18" s="6">
        <v>649.0</v>
      </c>
    </row>
    <row r="19">
      <c r="A19" s="2" t="s">
        <v>8</v>
      </c>
      <c r="B19" s="3">
        <v>0.089</v>
      </c>
      <c r="C19" s="3">
        <v>0.089</v>
      </c>
      <c r="D19" s="3">
        <v>0.09</v>
      </c>
      <c r="E19" s="5"/>
      <c r="F19" s="5"/>
      <c r="G19" s="5"/>
      <c r="H19" s="5"/>
      <c r="I19" s="5"/>
      <c r="J19" s="5"/>
      <c r="K19" s="5"/>
      <c r="L19" s="5"/>
      <c r="M19" s="5"/>
      <c r="N19" s="6">
        <v>649.0</v>
      </c>
    </row>
    <row r="21" ht="15.75" customHeight="1">
      <c r="A21" s="1"/>
      <c r="B21" s="2">
        <v>1.0</v>
      </c>
      <c r="C21" s="2">
        <v>2.0</v>
      </c>
      <c r="D21" s="2">
        <v>3.0</v>
      </c>
      <c r="E21" s="2">
        <v>4.0</v>
      </c>
      <c r="F21" s="2">
        <v>5.0</v>
      </c>
      <c r="G21" s="2">
        <v>6.0</v>
      </c>
      <c r="H21" s="2">
        <v>7.0</v>
      </c>
      <c r="I21" s="2">
        <v>8.0</v>
      </c>
      <c r="J21" s="2">
        <v>9.0</v>
      </c>
      <c r="K21" s="2">
        <v>10.0</v>
      </c>
      <c r="L21" s="2">
        <v>11.0</v>
      </c>
      <c r="M21" s="2">
        <v>12.0</v>
      </c>
    </row>
    <row r="22" ht="15.75" customHeight="1">
      <c r="A22" s="2" t="s">
        <v>0</v>
      </c>
      <c r="B22" s="3">
        <v>0.09</v>
      </c>
      <c r="C22" s="4">
        <v>0.093</v>
      </c>
      <c r="D22" s="3">
        <v>0.09</v>
      </c>
      <c r="E22" s="4">
        <v>0.092</v>
      </c>
      <c r="F22" s="3">
        <v>0.087</v>
      </c>
      <c r="G22" s="3">
        <v>0.09</v>
      </c>
      <c r="H22" s="5"/>
      <c r="I22" s="5"/>
      <c r="J22" s="5"/>
      <c r="K22" s="5"/>
      <c r="L22" s="5"/>
      <c r="M22" s="5"/>
      <c r="N22" s="6">
        <v>665.0</v>
      </c>
      <c r="O22" s="7" t="s">
        <v>1</v>
      </c>
    </row>
    <row r="23" ht="15.75" customHeight="1">
      <c r="A23" s="2" t="s">
        <v>2</v>
      </c>
      <c r="B23" s="4">
        <v>0.095</v>
      </c>
      <c r="C23" s="3">
        <v>0.088</v>
      </c>
      <c r="D23" s="4">
        <v>0.092</v>
      </c>
      <c r="E23" s="3">
        <v>0.088</v>
      </c>
      <c r="F23" s="8">
        <v>0.116</v>
      </c>
      <c r="G23" s="4">
        <v>0.093</v>
      </c>
      <c r="H23" s="5"/>
      <c r="I23" s="5"/>
      <c r="J23" s="5"/>
      <c r="K23" s="5"/>
      <c r="L23" s="5"/>
      <c r="M23" s="5"/>
      <c r="N23" s="6">
        <v>665.0</v>
      </c>
    </row>
    <row r="24" ht="15.75" customHeight="1">
      <c r="A24" s="2" t="s">
        <v>3</v>
      </c>
      <c r="B24" s="3">
        <v>0.089</v>
      </c>
      <c r="C24" s="4">
        <v>0.099</v>
      </c>
      <c r="D24" s="3">
        <v>0.091</v>
      </c>
      <c r="E24" s="3">
        <v>0.087</v>
      </c>
      <c r="F24" s="3">
        <v>0.091</v>
      </c>
      <c r="G24" s="3">
        <v>0.087</v>
      </c>
      <c r="H24" s="5"/>
      <c r="I24" s="5"/>
      <c r="J24" s="5"/>
      <c r="K24" s="5"/>
      <c r="L24" s="5"/>
      <c r="M24" s="5"/>
      <c r="N24" s="6">
        <v>665.0</v>
      </c>
    </row>
    <row r="25" ht="15.75" customHeight="1">
      <c r="A25" s="2" t="s">
        <v>4</v>
      </c>
      <c r="B25" s="3">
        <v>0.088</v>
      </c>
      <c r="C25" s="9">
        <v>0.102</v>
      </c>
      <c r="D25" s="3">
        <v>0.089</v>
      </c>
      <c r="E25" s="5"/>
      <c r="F25" s="5"/>
      <c r="G25" s="5"/>
      <c r="H25" s="5"/>
      <c r="I25" s="5"/>
      <c r="J25" s="5"/>
      <c r="K25" s="5"/>
      <c r="L25" s="5"/>
      <c r="M25" s="5"/>
      <c r="N25" s="6">
        <v>665.0</v>
      </c>
    </row>
    <row r="26" ht="15.75" customHeight="1">
      <c r="A26" s="2" t="s">
        <v>5</v>
      </c>
      <c r="B26" s="10">
        <v>0.185</v>
      </c>
      <c r="C26" s="3">
        <v>0.084</v>
      </c>
      <c r="D26" s="3">
        <v>0.085</v>
      </c>
      <c r="E26" s="5"/>
      <c r="F26" s="5"/>
      <c r="G26" s="5"/>
      <c r="H26" s="5"/>
      <c r="I26" s="5"/>
      <c r="J26" s="5"/>
      <c r="K26" s="5"/>
      <c r="L26" s="5"/>
      <c r="M26" s="5"/>
      <c r="N26" s="6">
        <v>665.0</v>
      </c>
    </row>
    <row r="27" ht="15.75" customHeight="1">
      <c r="A27" s="2" t="s">
        <v>6</v>
      </c>
      <c r="B27" s="3">
        <v>0.088</v>
      </c>
      <c r="C27" s="3">
        <v>0.086</v>
      </c>
      <c r="D27" s="4">
        <v>0.095</v>
      </c>
      <c r="E27" s="5"/>
      <c r="F27" s="5"/>
      <c r="G27" s="5"/>
      <c r="H27" s="5"/>
      <c r="I27" s="5"/>
      <c r="J27" s="5"/>
      <c r="K27" s="5"/>
      <c r="L27" s="5"/>
      <c r="M27" s="5"/>
      <c r="N27" s="6">
        <v>665.0</v>
      </c>
    </row>
    <row r="28" ht="15.75" customHeight="1">
      <c r="A28" s="2" t="s">
        <v>7</v>
      </c>
      <c r="B28" s="11">
        <v>0.123</v>
      </c>
      <c r="C28" s="3">
        <v>0.086</v>
      </c>
      <c r="D28" s="3">
        <v>0.087</v>
      </c>
      <c r="E28" s="5"/>
      <c r="F28" s="5"/>
      <c r="G28" s="5"/>
      <c r="H28" s="5"/>
      <c r="I28" s="5"/>
      <c r="J28" s="5"/>
      <c r="K28" s="5"/>
      <c r="L28" s="5"/>
      <c r="M28" s="5"/>
      <c r="N28" s="6">
        <v>665.0</v>
      </c>
    </row>
    <row r="29" ht="15.75" customHeight="1">
      <c r="A29" s="2" t="s">
        <v>8</v>
      </c>
      <c r="B29" s="3">
        <v>0.088</v>
      </c>
      <c r="C29" s="3">
        <v>0.088</v>
      </c>
      <c r="D29" s="3">
        <v>0.09</v>
      </c>
      <c r="E29" s="5"/>
      <c r="F29" s="5"/>
      <c r="G29" s="5"/>
      <c r="H29" s="5"/>
      <c r="I29" s="5"/>
      <c r="J29" s="5"/>
      <c r="K29" s="5"/>
      <c r="L29" s="5"/>
      <c r="M29" s="5"/>
      <c r="N29" s="6">
        <v>665.0</v>
      </c>
    </row>
    <row r="30" ht="15.75" customHeight="1"/>
    <row r="31" ht="15.75" customHeight="1">
      <c r="A31" s="1"/>
      <c r="B31" s="2">
        <v>1.0</v>
      </c>
      <c r="C31" s="2">
        <v>2.0</v>
      </c>
      <c r="D31" s="2">
        <v>3.0</v>
      </c>
      <c r="E31" s="2">
        <v>4.0</v>
      </c>
      <c r="F31" s="2">
        <v>5.0</v>
      </c>
      <c r="G31" s="2">
        <v>6.0</v>
      </c>
      <c r="H31" s="2">
        <v>7.0</v>
      </c>
      <c r="I31" s="2">
        <v>8.0</v>
      </c>
      <c r="J31" s="2">
        <v>9.0</v>
      </c>
      <c r="K31" s="2">
        <v>10.0</v>
      </c>
      <c r="L31" s="2">
        <v>11.0</v>
      </c>
      <c r="M31" s="2">
        <v>12.0</v>
      </c>
    </row>
    <row r="32" ht="15.75" customHeight="1">
      <c r="A32" s="2" t="s">
        <v>0</v>
      </c>
      <c r="B32" s="3">
        <v>0.089</v>
      </c>
      <c r="C32" s="4">
        <v>0.092</v>
      </c>
      <c r="D32" s="3">
        <v>0.09</v>
      </c>
      <c r="E32" s="3">
        <v>0.089</v>
      </c>
      <c r="F32" s="3">
        <v>0.085</v>
      </c>
      <c r="G32" s="3">
        <v>0.089</v>
      </c>
      <c r="H32" s="5"/>
      <c r="I32" s="5"/>
      <c r="J32" s="5"/>
      <c r="K32" s="5"/>
      <c r="L32" s="5"/>
      <c r="M32" s="5"/>
      <c r="N32" s="6">
        <v>696.0</v>
      </c>
      <c r="O32" s="7" t="s">
        <v>1</v>
      </c>
    </row>
    <row r="33" ht="15.75" customHeight="1">
      <c r="A33" s="2" t="s">
        <v>2</v>
      </c>
      <c r="B33" s="4">
        <v>0.094</v>
      </c>
      <c r="C33" s="3">
        <v>0.088</v>
      </c>
      <c r="D33" s="3">
        <v>0.089</v>
      </c>
      <c r="E33" s="3">
        <v>0.087</v>
      </c>
      <c r="F33" s="8">
        <v>0.114</v>
      </c>
      <c r="G33" s="3">
        <v>0.09</v>
      </c>
      <c r="H33" s="5"/>
      <c r="I33" s="5"/>
      <c r="J33" s="5"/>
      <c r="K33" s="5"/>
      <c r="L33" s="5"/>
      <c r="M33" s="5"/>
      <c r="N33" s="6">
        <v>696.0</v>
      </c>
    </row>
    <row r="34" ht="15.75" customHeight="1">
      <c r="A34" s="2" t="s">
        <v>3</v>
      </c>
      <c r="B34" s="3">
        <v>0.088</v>
      </c>
      <c r="C34" s="4">
        <v>0.097</v>
      </c>
      <c r="D34" s="3">
        <v>0.09</v>
      </c>
      <c r="E34" s="3">
        <v>0.087</v>
      </c>
      <c r="F34" s="3">
        <v>0.09</v>
      </c>
      <c r="G34" s="3">
        <v>0.087</v>
      </c>
      <c r="H34" s="5"/>
      <c r="I34" s="5"/>
      <c r="J34" s="5"/>
      <c r="K34" s="5"/>
      <c r="L34" s="5"/>
      <c r="M34" s="5"/>
      <c r="N34" s="6">
        <v>696.0</v>
      </c>
    </row>
    <row r="35" ht="15.75" customHeight="1">
      <c r="A35" s="2" t="s">
        <v>4</v>
      </c>
      <c r="B35" s="3">
        <v>0.087</v>
      </c>
      <c r="C35" s="9">
        <v>0.1</v>
      </c>
      <c r="D35" s="3">
        <v>0.088</v>
      </c>
      <c r="E35" s="5"/>
      <c r="F35" s="5"/>
      <c r="G35" s="5"/>
      <c r="H35" s="5"/>
      <c r="I35" s="5"/>
      <c r="J35" s="5"/>
      <c r="K35" s="5"/>
      <c r="L35" s="5"/>
      <c r="M35" s="5"/>
      <c r="N35" s="6">
        <v>696.0</v>
      </c>
    </row>
    <row r="36" ht="15.75" customHeight="1">
      <c r="A36" s="2" t="s">
        <v>5</v>
      </c>
      <c r="B36" s="10">
        <v>0.185</v>
      </c>
      <c r="C36" s="3">
        <v>0.083</v>
      </c>
      <c r="D36" s="3">
        <v>0.083</v>
      </c>
      <c r="E36" s="5"/>
      <c r="F36" s="5"/>
      <c r="G36" s="5"/>
      <c r="H36" s="5"/>
      <c r="I36" s="5"/>
      <c r="J36" s="5"/>
      <c r="K36" s="5"/>
      <c r="L36" s="5"/>
      <c r="M36" s="5"/>
      <c r="N36" s="6">
        <v>696.0</v>
      </c>
    </row>
    <row r="37" ht="15.75" customHeight="1">
      <c r="A37" s="2" t="s">
        <v>6</v>
      </c>
      <c r="B37" s="3">
        <v>0.087</v>
      </c>
      <c r="C37" s="3">
        <v>0.086</v>
      </c>
      <c r="D37" s="4">
        <v>0.091</v>
      </c>
      <c r="E37" s="5"/>
      <c r="F37" s="5"/>
      <c r="G37" s="5"/>
      <c r="H37" s="5"/>
      <c r="I37" s="5"/>
      <c r="J37" s="5"/>
      <c r="K37" s="5"/>
      <c r="L37" s="5"/>
      <c r="M37" s="5"/>
      <c r="N37" s="6">
        <v>696.0</v>
      </c>
    </row>
    <row r="38" ht="15.75" customHeight="1">
      <c r="A38" s="2" t="s">
        <v>7</v>
      </c>
      <c r="B38" s="8">
        <v>0.12</v>
      </c>
      <c r="C38" s="3">
        <v>0.086</v>
      </c>
      <c r="D38" s="3">
        <v>0.084</v>
      </c>
      <c r="E38" s="5"/>
      <c r="F38" s="5"/>
      <c r="G38" s="5"/>
      <c r="H38" s="5"/>
      <c r="I38" s="5"/>
      <c r="J38" s="5"/>
      <c r="K38" s="5"/>
      <c r="L38" s="5"/>
      <c r="M38" s="5"/>
      <c r="N38" s="6">
        <v>696.0</v>
      </c>
    </row>
    <row r="39" ht="15.75" customHeight="1">
      <c r="A39" s="2" t="s">
        <v>8</v>
      </c>
      <c r="B39" s="3">
        <v>0.086</v>
      </c>
      <c r="C39" s="3">
        <v>0.086</v>
      </c>
      <c r="D39" s="3">
        <v>0.088</v>
      </c>
      <c r="E39" s="5"/>
      <c r="F39" s="5"/>
      <c r="G39" s="5"/>
      <c r="H39" s="5"/>
      <c r="I39" s="5"/>
      <c r="J39" s="5"/>
      <c r="K39" s="5"/>
      <c r="L39" s="5"/>
      <c r="M39" s="5"/>
      <c r="N39" s="6">
        <v>696.0</v>
      </c>
    </row>
    <row r="40" ht="15.75" customHeight="1"/>
    <row r="41" ht="15.75" customHeight="1">
      <c r="A41" s="1"/>
      <c r="B41" s="2">
        <v>1.0</v>
      </c>
      <c r="C41" s="2">
        <v>2.0</v>
      </c>
      <c r="D41" s="2">
        <v>3.0</v>
      </c>
      <c r="E41" s="2">
        <v>4.0</v>
      </c>
      <c r="F41" s="2">
        <v>5.0</v>
      </c>
      <c r="G41" s="2">
        <v>6.0</v>
      </c>
      <c r="H41" s="2">
        <v>7.0</v>
      </c>
      <c r="I41" s="2">
        <v>8.0</v>
      </c>
      <c r="J41" s="2">
        <v>9.0</v>
      </c>
      <c r="K41" s="2">
        <v>10.0</v>
      </c>
      <c r="L41" s="2">
        <v>11.0</v>
      </c>
      <c r="M41" s="2">
        <v>12.0</v>
      </c>
    </row>
    <row r="42" ht="15.75" customHeight="1">
      <c r="A42" s="2" t="s">
        <v>0</v>
      </c>
      <c r="B42" s="4">
        <v>0.092</v>
      </c>
      <c r="C42" s="9">
        <v>0.092</v>
      </c>
      <c r="D42" s="4">
        <v>0.09</v>
      </c>
      <c r="E42" s="9">
        <v>0.096</v>
      </c>
      <c r="F42" s="9">
        <v>0.098</v>
      </c>
      <c r="G42" s="9">
        <v>0.092</v>
      </c>
      <c r="H42" s="5"/>
      <c r="I42" s="5"/>
      <c r="J42" s="5"/>
      <c r="K42" s="5"/>
      <c r="L42" s="5"/>
      <c r="M42" s="5"/>
      <c r="N42" s="6" t="s">
        <v>9</v>
      </c>
      <c r="O42" s="7" t="s">
        <v>10</v>
      </c>
    </row>
    <row r="43" ht="15.75" customHeight="1">
      <c r="A43" s="2" t="s">
        <v>2</v>
      </c>
      <c r="B43" s="8">
        <v>0.108</v>
      </c>
      <c r="C43" s="9">
        <v>0.097</v>
      </c>
      <c r="D43" s="9">
        <v>0.098</v>
      </c>
      <c r="E43" s="9">
        <v>0.096</v>
      </c>
      <c r="F43" s="9">
        <v>0.094</v>
      </c>
      <c r="G43" s="12">
        <v>0.099</v>
      </c>
      <c r="H43" s="5"/>
      <c r="I43" s="5"/>
      <c r="J43" s="5"/>
      <c r="K43" s="5"/>
      <c r="L43" s="5"/>
      <c r="M43" s="5"/>
      <c r="N43" s="6" t="s">
        <v>9</v>
      </c>
    </row>
    <row r="44" ht="15.75" customHeight="1">
      <c r="A44" s="2" t="s">
        <v>3</v>
      </c>
      <c r="B44" s="12">
        <v>0.101</v>
      </c>
      <c r="C44" s="8">
        <v>0.105</v>
      </c>
      <c r="D44" s="9">
        <v>0.097</v>
      </c>
      <c r="E44" s="13">
        <v>0.145</v>
      </c>
      <c r="F44" s="9">
        <v>0.095</v>
      </c>
      <c r="G44" s="9">
        <v>0.093</v>
      </c>
      <c r="H44" s="5"/>
      <c r="I44" s="5"/>
      <c r="J44" s="5"/>
      <c r="K44" s="5"/>
      <c r="L44" s="5"/>
      <c r="M44" s="5"/>
      <c r="N44" s="6" t="s">
        <v>9</v>
      </c>
    </row>
    <row r="45" ht="15.75" customHeight="1">
      <c r="A45" s="2" t="s">
        <v>4</v>
      </c>
      <c r="B45" s="9">
        <v>0.096</v>
      </c>
      <c r="C45" s="9">
        <v>0.093</v>
      </c>
      <c r="D45" s="9">
        <v>0.095</v>
      </c>
      <c r="E45" s="5"/>
      <c r="F45" s="5"/>
      <c r="G45" s="5"/>
      <c r="H45" s="5"/>
      <c r="I45" s="5"/>
      <c r="J45" s="5"/>
      <c r="K45" s="5"/>
      <c r="L45" s="5"/>
      <c r="M45" s="5"/>
      <c r="N45" s="6" t="s">
        <v>9</v>
      </c>
    </row>
    <row r="46" ht="15.75" customHeight="1">
      <c r="A46" s="2" t="s">
        <v>5</v>
      </c>
      <c r="B46" s="14">
        <v>0.127</v>
      </c>
      <c r="C46" s="15">
        <v>0.118</v>
      </c>
      <c r="D46" s="9">
        <v>0.095</v>
      </c>
      <c r="E46" s="5"/>
      <c r="F46" s="5"/>
      <c r="G46" s="5"/>
      <c r="H46" s="5"/>
      <c r="I46" s="5"/>
      <c r="J46" s="5"/>
      <c r="K46" s="5"/>
      <c r="L46" s="5"/>
      <c r="M46" s="5"/>
      <c r="N46" s="6" t="s">
        <v>9</v>
      </c>
    </row>
    <row r="47" ht="15.75" customHeight="1">
      <c r="A47" s="2" t="s">
        <v>6</v>
      </c>
      <c r="B47" s="9">
        <v>0.098</v>
      </c>
      <c r="C47" s="9">
        <v>0.094</v>
      </c>
      <c r="D47" s="12">
        <v>0.101</v>
      </c>
      <c r="E47" s="5"/>
      <c r="F47" s="5"/>
      <c r="G47" s="5"/>
      <c r="H47" s="5"/>
      <c r="I47" s="5"/>
      <c r="J47" s="5"/>
      <c r="K47" s="5"/>
      <c r="L47" s="5"/>
      <c r="M47" s="5"/>
      <c r="N47" s="6" t="s">
        <v>9</v>
      </c>
    </row>
    <row r="48" ht="15.75" customHeight="1">
      <c r="A48" s="2" t="s">
        <v>7</v>
      </c>
      <c r="B48" s="15">
        <v>0.119</v>
      </c>
      <c r="C48" s="9">
        <v>0.096</v>
      </c>
      <c r="D48" s="9">
        <v>0.097</v>
      </c>
      <c r="E48" s="5"/>
      <c r="F48" s="5"/>
      <c r="G48" s="5"/>
      <c r="H48" s="5"/>
      <c r="I48" s="5"/>
      <c r="J48" s="5"/>
      <c r="K48" s="5"/>
      <c r="L48" s="5"/>
      <c r="M48" s="5"/>
      <c r="N48" s="6" t="s">
        <v>9</v>
      </c>
    </row>
    <row r="49" ht="15.75" customHeight="1">
      <c r="A49" s="2" t="s">
        <v>8</v>
      </c>
      <c r="B49" s="9">
        <v>0.094</v>
      </c>
      <c r="C49" s="9">
        <v>0.095</v>
      </c>
      <c r="D49" s="9">
        <v>0.097</v>
      </c>
      <c r="E49" s="5"/>
      <c r="F49" s="5"/>
      <c r="G49" s="5"/>
      <c r="H49" s="5"/>
      <c r="I49" s="5"/>
      <c r="J49" s="5"/>
      <c r="K49" s="5"/>
      <c r="L49" s="5"/>
      <c r="M49" s="5"/>
      <c r="N49" s="6" t="s">
        <v>9</v>
      </c>
    </row>
    <row r="50" ht="15.75" customHeight="1"/>
    <row r="51" ht="15.75" customHeight="1">
      <c r="A51" s="1"/>
      <c r="B51" s="2">
        <v>1.0</v>
      </c>
      <c r="C51" s="2">
        <v>2.0</v>
      </c>
      <c r="D51" s="2">
        <v>3.0</v>
      </c>
      <c r="E51" s="2">
        <v>4.0</v>
      </c>
      <c r="F51" s="2">
        <v>5.0</v>
      </c>
      <c r="G51" s="2">
        <v>6.0</v>
      </c>
      <c r="H51" s="2">
        <v>7.0</v>
      </c>
      <c r="I51" s="2">
        <v>8.0</v>
      </c>
      <c r="J51" s="2">
        <v>9.0</v>
      </c>
      <c r="K51" s="2">
        <v>10.0</v>
      </c>
      <c r="L51" s="2">
        <v>11.0</v>
      </c>
      <c r="M51" s="2">
        <v>12.0</v>
      </c>
    </row>
    <row r="52" ht="15.75" customHeight="1">
      <c r="A52" s="2" t="s">
        <v>0</v>
      </c>
      <c r="B52" s="4">
        <v>0.091</v>
      </c>
      <c r="C52" s="4">
        <v>0.089</v>
      </c>
      <c r="D52" s="4">
        <v>0.09</v>
      </c>
      <c r="E52" s="9">
        <v>0.093</v>
      </c>
      <c r="F52" s="9">
        <v>0.093</v>
      </c>
      <c r="G52" s="4">
        <v>0.089</v>
      </c>
      <c r="H52" s="5"/>
      <c r="I52" s="5"/>
      <c r="J52" s="5"/>
      <c r="K52" s="5"/>
      <c r="L52" s="5"/>
      <c r="M52" s="5"/>
      <c r="N52" s="6" t="s">
        <v>11</v>
      </c>
      <c r="O52" s="7" t="s">
        <v>10</v>
      </c>
    </row>
    <row r="53" ht="15.75" customHeight="1">
      <c r="A53" s="2" t="s">
        <v>2</v>
      </c>
      <c r="B53" s="9">
        <v>0.098</v>
      </c>
      <c r="C53" s="9">
        <v>0.093</v>
      </c>
      <c r="D53" s="4">
        <v>0.091</v>
      </c>
      <c r="E53" s="4">
        <v>0.092</v>
      </c>
      <c r="F53" s="4">
        <v>0.091</v>
      </c>
      <c r="G53" s="9">
        <v>0.096</v>
      </c>
      <c r="H53" s="5"/>
      <c r="I53" s="5"/>
      <c r="J53" s="5"/>
      <c r="K53" s="5"/>
      <c r="L53" s="5"/>
      <c r="M53" s="5"/>
      <c r="N53" s="6" t="s">
        <v>11</v>
      </c>
    </row>
    <row r="54" ht="15.75" customHeight="1">
      <c r="A54" s="2" t="s">
        <v>3</v>
      </c>
      <c r="B54" s="9">
        <v>0.096</v>
      </c>
      <c r="C54" s="9">
        <v>0.099</v>
      </c>
      <c r="D54" s="4">
        <v>0.091</v>
      </c>
      <c r="E54" s="16">
        <v>0.146</v>
      </c>
      <c r="F54" s="4">
        <v>0.092</v>
      </c>
      <c r="G54" s="4">
        <v>0.09</v>
      </c>
      <c r="H54" s="5"/>
      <c r="I54" s="5"/>
      <c r="J54" s="5"/>
      <c r="K54" s="5"/>
      <c r="L54" s="5"/>
      <c r="M54" s="5"/>
      <c r="N54" s="6" t="s">
        <v>11</v>
      </c>
    </row>
    <row r="55" ht="15.75" customHeight="1">
      <c r="A55" s="2" t="s">
        <v>4</v>
      </c>
      <c r="B55" s="4">
        <v>0.091</v>
      </c>
      <c r="C55" s="4">
        <v>0.089</v>
      </c>
      <c r="D55" s="4">
        <v>0.09</v>
      </c>
      <c r="E55" s="5"/>
      <c r="F55" s="5"/>
      <c r="G55" s="5"/>
      <c r="H55" s="5"/>
      <c r="I55" s="5"/>
      <c r="J55" s="5"/>
      <c r="K55" s="5"/>
      <c r="L55" s="5"/>
      <c r="M55" s="5"/>
      <c r="N55" s="6" t="s">
        <v>11</v>
      </c>
    </row>
    <row r="56" ht="15.75" customHeight="1">
      <c r="A56" s="2" t="s">
        <v>5</v>
      </c>
      <c r="B56" s="15">
        <v>0.125</v>
      </c>
      <c r="C56" s="8">
        <v>0.109</v>
      </c>
      <c r="D56" s="4">
        <v>0.092</v>
      </c>
      <c r="E56" s="5"/>
      <c r="F56" s="5"/>
      <c r="G56" s="5"/>
      <c r="H56" s="5"/>
      <c r="I56" s="5"/>
      <c r="J56" s="5"/>
      <c r="K56" s="5"/>
      <c r="L56" s="5"/>
      <c r="M56" s="5"/>
      <c r="N56" s="6" t="s">
        <v>11</v>
      </c>
    </row>
    <row r="57" ht="15.75" customHeight="1">
      <c r="A57" s="2" t="s">
        <v>6</v>
      </c>
      <c r="B57" s="9">
        <v>0.093</v>
      </c>
      <c r="C57" s="4">
        <v>0.091</v>
      </c>
      <c r="D57" s="9">
        <v>0.097</v>
      </c>
      <c r="E57" s="5"/>
      <c r="F57" s="5"/>
      <c r="G57" s="5"/>
      <c r="H57" s="5"/>
      <c r="I57" s="5"/>
      <c r="J57" s="5"/>
      <c r="K57" s="5"/>
      <c r="L57" s="5"/>
      <c r="M57" s="5"/>
      <c r="N57" s="6" t="s">
        <v>11</v>
      </c>
    </row>
    <row r="58" ht="15.75" customHeight="1">
      <c r="A58" s="2" t="s">
        <v>7</v>
      </c>
      <c r="B58" s="11">
        <v>0.113</v>
      </c>
      <c r="C58" s="4">
        <v>0.092</v>
      </c>
      <c r="D58" s="4">
        <v>0.09</v>
      </c>
      <c r="E58" s="5"/>
      <c r="F58" s="5"/>
      <c r="G58" s="5"/>
      <c r="H58" s="5"/>
      <c r="I58" s="5"/>
      <c r="J58" s="5"/>
      <c r="K58" s="5"/>
      <c r="L58" s="5"/>
      <c r="M58" s="5"/>
      <c r="N58" s="6" t="s">
        <v>11</v>
      </c>
    </row>
    <row r="59" ht="15.75" customHeight="1">
      <c r="A59" s="2" t="s">
        <v>8</v>
      </c>
      <c r="B59" s="4">
        <v>0.088</v>
      </c>
      <c r="C59" s="4">
        <v>0.092</v>
      </c>
      <c r="D59" s="9">
        <v>0.094</v>
      </c>
      <c r="E59" s="5"/>
      <c r="F59" s="5"/>
      <c r="G59" s="5"/>
      <c r="H59" s="5"/>
      <c r="I59" s="5"/>
      <c r="J59" s="5"/>
      <c r="K59" s="5"/>
      <c r="L59" s="5"/>
      <c r="M59" s="5"/>
      <c r="N59" s="6" t="s">
        <v>11</v>
      </c>
    </row>
    <row r="60" ht="15.75" customHeight="1"/>
    <row r="61" ht="15.75" customHeight="1">
      <c r="A61" s="1"/>
      <c r="B61" s="2">
        <v>1.0</v>
      </c>
      <c r="C61" s="2">
        <v>2.0</v>
      </c>
      <c r="D61" s="2">
        <v>3.0</v>
      </c>
      <c r="E61" s="2">
        <v>4.0</v>
      </c>
      <c r="F61" s="2">
        <v>5.0</v>
      </c>
      <c r="G61" s="2">
        <v>6.0</v>
      </c>
      <c r="H61" s="2">
        <v>7.0</v>
      </c>
      <c r="I61" s="2">
        <v>8.0</v>
      </c>
      <c r="J61" s="2">
        <v>9.0</v>
      </c>
      <c r="K61" s="2">
        <v>10.0</v>
      </c>
      <c r="L61" s="2">
        <v>11.0</v>
      </c>
      <c r="M61" s="2">
        <v>12.0</v>
      </c>
      <c r="O61" s="1"/>
      <c r="P61" s="2">
        <v>1.0</v>
      </c>
      <c r="Q61" s="2">
        <v>2.0</v>
      </c>
      <c r="R61" s="2">
        <v>3.0</v>
      </c>
      <c r="S61" s="2">
        <v>4.0</v>
      </c>
      <c r="T61" s="2">
        <v>5.0</v>
      </c>
      <c r="U61" s="2">
        <v>6.0</v>
      </c>
      <c r="V61" s="2">
        <v>7.0</v>
      </c>
      <c r="W61" s="2">
        <v>8.0</v>
      </c>
      <c r="X61" s="2">
        <v>9.0</v>
      </c>
      <c r="Y61" s="2">
        <v>10.0</v>
      </c>
      <c r="Z61" s="2">
        <v>11.0</v>
      </c>
      <c r="AA61" s="2">
        <v>12.0</v>
      </c>
    </row>
    <row r="62" ht="15.75" customHeight="1">
      <c r="A62" s="2" t="s">
        <v>0</v>
      </c>
      <c r="B62" s="3">
        <v>0.089</v>
      </c>
      <c r="C62" s="3">
        <v>0.091</v>
      </c>
      <c r="D62" s="3">
        <v>0.091</v>
      </c>
      <c r="E62" s="11">
        <v>0.122</v>
      </c>
      <c r="F62" s="11">
        <v>0.126</v>
      </c>
      <c r="G62" s="12">
        <v>0.11</v>
      </c>
      <c r="H62" s="5"/>
      <c r="I62" s="5"/>
      <c r="J62" s="5"/>
      <c r="K62" s="5"/>
      <c r="L62" s="5"/>
      <c r="M62" s="5"/>
      <c r="N62" s="6" t="s">
        <v>12</v>
      </c>
      <c r="O62" s="2" t="s">
        <v>0</v>
      </c>
      <c r="P62" s="3">
        <v>0.088</v>
      </c>
      <c r="Q62" s="3">
        <v>0.091</v>
      </c>
      <c r="R62" s="3">
        <v>0.09</v>
      </c>
      <c r="S62" s="8">
        <v>0.121</v>
      </c>
      <c r="T62" s="11">
        <v>0.125</v>
      </c>
      <c r="U62" s="12">
        <v>0.11</v>
      </c>
      <c r="V62" s="5"/>
      <c r="W62" s="5"/>
      <c r="X62" s="5"/>
      <c r="Y62" s="5"/>
      <c r="Z62" s="5"/>
      <c r="AA62" s="5"/>
      <c r="AB62" s="6" t="s">
        <v>13</v>
      </c>
    </row>
    <row r="63" ht="15.75" customHeight="1">
      <c r="A63" s="2" t="s">
        <v>2</v>
      </c>
      <c r="B63" s="15">
        <v>0.136</v>
      </c>
      <c r="C63" s="8">
        <v>0.117</v>
      </c>
      <c r="D63" s="11">
        <v>0.127</v>
      </c>
      <c r="E63" s="8">
        <v>0.121</v>
      </c>
      <c r="F63" s="8">
        <v>0.121</v>
      </c>
      <c r="G63" s="11">
        <v>0.125</v>
      </c>
      <c r="H63" s="5"/>
      <c r="I63" s="5"/>
      <c r="J63" s="5"/>
      <c r="K63" s="5"/>
      <c r="L63" s="5"/>
      <c r="M63" s="5"/>
      <c r="N63" s="6" t="s">
        <v>12</v>
      </c>
      <c r="O63" s="2" t="s">
        <v>2</v>
      </c>
      <c r="P63" s="15">
        <v>0.134</v>
      </c>
      <c r="Q63" s="8">
        <v>0.117</v>
      </c>
      <c r="R63" s="11">
        <v>0.126</v>
      </c>
      <c r="S63" s="12">
        <v>0.113</v>
      </c>
      <c r="T63" s="8">
        <v>0.12</v>
      </c>
      <c r="U63" s="11">
        <v>0.128</v>
      </c>
      <c r="V63" s="5"/>
      <c r="W63" s="5"/>
      <c r="X63" s="5"/>
      <c r="Y63" s="5"/>
      <c r="Z63" s="5"/>
      <c r="AA63" s="5"/>
      <c r="AB63" s="6" t="s">
        <v>13</v>
      </c>
    </row>
    <row r="64" ht="15.75" customHeight="1">
      <c r="A64" s="2" t="s">
        <v>3</v>
      </c>
      <c r="B64" s="14">
        <v>0.138</v>
      </c>
      <c r="C64" s="11">
        <v>0.126</v>
      </c>
      <c r="D64" s="8">
        <v>0.119</v>
      </c>
      <c r="E64" s="17">
        <v>0.171</v>
      </c>
      <c r="F64" s="11">
        <v>0.126</v>
      </c>
      <c r="G64" s="11">
        <v>0.123</v>
      </c>
      <c r="H64" s="5"/>
      <c r="I64" s="5"/>
      <c r="J64" s="5"/>
      <c r="K64" s="5"/>
      <c r="L64" s="5"/>
      <c r="M64" s="5"/>
      <c r="N64" s="6" t="s">
        <v>12</v>
      </c>
      <c r="O64" s="2" t="s">
        <v>3</v>
      </c>
      <c r="P64" s="15">
        <v>0.136</v>
      </c>
      <c r="Q64" s="11">
        <v>0.126</v>
      </c>
      <c r="R64" s="8">
        <v>0.118</v>
      </c>
      <c r="S64" s="18">
        <v>0.179</v>
      </c>
      <c r="T64" s="11">
        <v>0.124</v>
      </c>
      <c r="U64" s="8">
        <v>0.122</v>
      </c>
      <c r="V64" s="5"/>
      <c r="W64" s="5"/>
      <c r="X64" s="5"/>
      <c r="Y64" s="5"/>
      <c r="Z64" s="5"/>
      <c r="AA64" s="5"/>
      <c r="AB64" s="6" t="s">
        <v>13</v>
      </c>
    </row>
    <row r="65" ht="15.75" customHeight="1">
      <c r="A65" s="2" t="s">
        <v>4</v>
      </c>
      <c r="B65" s="12">
        <v>0.115</v>
      </c>
      <c r="C65" s="11">
        <v>0.128</v>
      </c>
      <c r="D65" s="8">
        <v>0.117</v>
      </c>
      <c r="E65" s="5"/>
      <c r="F65" s="5"/>
      <c r="G65" s="5"/>
      <c r="H65" s="5"/>
      <c r="I65" s="5"/>
      <c r="J65" s="5"/>
      <c r="K65" s="5"/>
      <c r="L65" s="5"/>
      <c r="M65" s="5"/>
      <c r="N65" s="6" t="s">
        <v>12</v>
      </c>
      <c r="O65" s="2" t="s">
        <v>4</v>
      </c>
      <c r="P65" s="12">
        <v>0.114</v>
      </c>
      <c r="Q65" s="11">
        <v>0.127</v>
      </c>
      <c r="R65" s="8">
        <v>0.117</v>
      </c>
      <c r="S65" s="5"/>
      <c r="T65" s="5"/>
      <c r="U65" s="5"/>
      <c r="V65" s="5"/>
      <c r="W65" s="5"/>
      <c r="X65" s="5"/>
      <c r="Y65" s="5"/>
      <c r="Z65" s="5"/>
      <c r="AA65" s="5"/>
      <c r="AB65" s="6" t="s">
        <v>13</v>
      </c>
    </row>
    <row r="66" ht="15.75" customHeight="1">
      <c r="A66" s="2" t="s">
        <v>5</v>
      </c>
      <c r="B66" s="17">
        <v>0.167</v>
      </c>
      <c r="C66" s="14">
        <v>0.144</v>
      </c>
      <c r="D66" s="8">
        <v>0.115</v>
      </c>
      <c r="E66" s="5"/>
      <c r="F66" s="5"/>
      <c r="G66" s="5"/>
      <c r="H66" s="5"/>
      <c r="I66" s="5"/>
      <c r="J66" s="5"/>
      <c r="K66" s="5"/>
      <c r="L66" s="5"/>
      <c r="M66" s="5"/>
      <c r="N66" s="6" t="s">
        <v>12</v>
      </c>
      <c r="O66" s="2" t="s">
        <v>5</v>
      </c>
      <c r="P66" s="17">
        <v>0.174</v>
      </c>
      <c r="Q66" s="15">
        <v>0.135</v>
      </c>
      <c r="R66" s="12">
        <v>0.114</v>
      </c>
      <c r="S66" s="5"/>
      <c r="T66" s="5"/>
      <c r="U66" s="5"/>
      <c r="V66" s="5"/>
      <c r="W66" s="5"/>
      <c r="X66" s="5"/>
      <c r="Y66" s="5"/>
      <c r="Z66" s="5"/>
      <c r="AA66" s="5"/>
      <c r="AB66" s="6" t="s">
        <v>13</v>
      </c>
    </row>
    <row r="67" ht="15.75" customHeight="1">
      <c r="A67" s="2" t="s">
        <v>6</v>
      </c>
      <c r="B67" s="12">
        <v>0.11</v>
      </c>
      <c r="C67" s="12">
        <v>0.113</v>
      </c>
      <c r="D67" s="8">
        <v>0.116</v>
      </c>
      <c r="E67" s="5"/>
      <c r="F67" s="5"/>
      <c r="G67" s="5"/>
      <c r="H67" s="5"/>
      <c r="I67" s="5"/>
      <c r="J67" s="5"/>
      <c r="K67" s="5"/>
      <c r="L67" s="5"/>
      <c r="M67" s="5"/>
      <c r="N67" s="6" t="s">
        <v>12</v>
      </c>
      <c r="O67" s="2" t="s">
        <v>6</v>
      </c>
      <c r="P67" s="12">
        <v>0.109</v>
      </c>
      <c r="Q67" s="12">
        <v>0.112</v>
      </c>
      <c r="R67" s="8">
        <v>0.116</v>
      </c>
      <c r="S67" s="5"/>
      <c r="T67" s="5"/>
      <c r="U67" s="5"/>
      <c r="V67" s="5"/>
      <c r="W67" s="5"/>
      <c r="X67" s="5"/>
      <c r="Y67" s="5"/>
      <c r="Z67" s="5"/>
      <c r="AA67" s="5"/>
      <c r="AB67" s="6" t="s">
        <v>13</v>
      </c>
    </row>
    <row r="68" ht="15.75" customHeight="1">
      <c r="A68" s="2" t="s">
        <v>7</v>
      </c>
      <c r="B68" s="13">
        <v>0.162</v>
      </c>
      <c r="C68" s="11">
        <v>0.124</v>
      </c>
      <c r="D68" s="8">
        <v>0.119</v>
      </c>
      <c r="E68" s="5"/>
      <c r="F68" s="5"/>
      <c r="G68" s="5"/>
      <c r="H68" s="5"/>
      <c r="I68" s="5"/>
      <c r="J68" s="5"/>
      <c r="K68" s="5"/>
      <c r="L68" s="5"/>
      <c r="M68" s="5"/>
      <c r="N68" s="6" t="s">
        <v>12</v>
      </c>
      <c r="O68" s="2" t="s">
        <v>7</v>
      </c>
      <c r="P68" s="16">
        <v>0.155</v>
      </c>
      <c r="Q68" s="11">
        <v>0.124</v>
      </c>
      <c r="R68" s="8">
        <v>0.119</v>
      </c>
      <c r="S68" s="5"/>
      <c r="T68" s="5"/>
      <c r="U68" s="5"/>
      <c r="V68" s="5"/>
      <c r="W68" s="5"/>
      <c r="X68" s="5"/>
      <c r="Y68" s="5"/>
      <c r="Z68" s="5"/>
      <c r="AA68" s="5"/>
      <c r="AB68" s="6" t="s">
        <v>13</v>
      </c>
    </row>
    <row r="69" ht="15.75" customHeight="1">
      <c r="A69" s="2" t="s">
        <v>8</v>
      </c>
      <c r="B69" s="12">
        <v>0.112</v>
      </c>
      <c r="C69" s="12">
        <v>0.113</v>
      </c>
      <c r="D69" s="8">
        <v>0.118</v>
      </c>
      <c r="E69" s="5"/>
      <c r="F69" s="5"/>
      <c r="G69" s="5"/>
      <c r="H69" s="5"/>
      <c r="I69" s="5"/>
      <c r="J69" s="5"/>
      <c r="K69" s="5"/>
      <c r="L69" s="5"/>
      <c r="M69" s="5"/>
      <c r="N69" s="6" t="s">
        <v>12</v>
      </c>
      <c r="O69" s="2" t="s">
        <v>8</v>
      </c>
      <c r="P69" s="12">
        <v>0.112</v>
      </c>
      <c r="Q69" s="12">
        <v>0.112</v>
      </c>
      <c r="R69" s="8">
        <v>0.116</v>
      </c>
      <c r="S69" s="5"/>
      <c r="T69" s="5"/>
      <c r="U69" s="5"/>
      <c r="V69" s="5"/>
      <c r="W69" s="5"/>
      <c r="X69" s="5"/>
      <c r="Y69" s="5"/>
      <c r="Z69" s="5"/>
      <c r="AA69" s="5"/>
      <c r="AB69" s="6" t="s">
        <v>13</v>
      </c>
    </row>
    <row r="70" ht="15.75" customHeight="1"/>
    <row r="71" ht="15.75" customHeight="1">
      <c r="A71" s="1"/>
      <c r="B71" s="2">
        <v>1.0</v>
      </c>
      <c r="C71" s="2">
        <v>2.0</v>
      </c>
      <c r="D71" s="2">
        <v>3.0</v>
      </c>
      <c r="E71" s="2">
        <v>4.0</v>
      </c>
      <c r="F71" s="2">
        <v>5.0</v>
      </c>
      <c r="G71" s="2">
        <v>6.0</v>
      </c>
      <c r="H71" s="2">
        <v>7.0</v>
      </c>
      <c r="I71" s="2">
        <v>8.0</v>
      </c>
      <c r="J71" s="2">
        <v>9.0</v>
      </c>
      <c r="K71" s="2">
        <v>10.0</v>
      </c>
      <c r="L71" s="2">
        <v>11.0</v>
      </c>
      <c r="M71" s="2">
        <v>12.0</v>
      </c>
      <c r="O71" s="1"/>
      <c r="P71" s="2">
        <v>1.0</v>
      </c>
      <c r="Q71" s="2">
        <v>2.0</v>
      </c>
      <c r="R71" s="2">
        <v>3.0</v>
      </c>
      <c r="S71" s="2">
        <v>4.0</v>
      </c>
      <c r="T71" s="2">
        <v>5.0</v>
      </c>
      <c r="U71" s="2">
        <v>6.0</v>
      </c>
      <c r="V71" s="2">
        <v>7.0</v>
      </c>
      <c r="W71" s="2">
        <v>8.0</v>
      </c>
      <c r="X71" s="2">
        <v>9.0</v>
      </c>
      <c r="Y71" s="2">
        <v>10.0</v>
      </c>
      <c r="Z71" s="2">
        <v>11.0</v>
      </c>
      <c r="AA71" s="2">
        <v>12.0</v>
      </c>
    </row>
    <row r="72" ht="15.75" customHeight="1">
      <c r="A72" s="2" t="s">
        <v>0</v>
      </c>
      <c r="B72" s="3">
        <v>0.087</v>
      </c>
      <c r="C72" s="3">
        <v>0.089</v>
      </c>
      <c r="D72" s="3">
        <v>0.088</v>
      </c>
      <c r="E72" s="8">
        <v>0.114</v>
      </c>
      <c r="F72" s="8">
        <v>0.117</v>
      </c>
      <c r="G72" s="9">
        <v>0.103</v>
      </c>
      <c r="H72" s="5"/>
      <c r="I72" s="5"/>
      <c r="J72" s="5"/>
      <c r="K72" s="5"/>
      <c r="L72" s="5"/>
      <c r="M72" s="5"/>
      <c r="N72" s="6" t="s">
        <v>14</v>
      </c>
      <c r="O72" s="2" t="s">
        <v>0</v>
      </c>
      <c r="P72" s="3">
        <v>0.086</v>
      </c>
      <c r="Q72" s="3">
        <v>0.089</v>
      </c>
      <c r="R72" s="3">
        <v>0.088</v>
      </c>
      <c r="S72" s="12">
        <v>0.114</v>
      </c>
      <c r="T72" s="8">
        <v>0.117</v>
      </c>
      <c r="U72" s="9">
        <v>0.102</v>
      </c>
      <c r="V72" s="5"/>
      <c r="W72" s="5"/>
      <c r="X72" s="5"/>
      <c r="Y72" s="5"/>
      <c r="Z72" s="5"/>
      <c r="AA72" s="5"/>
      <c r="AB72" s="6" t="s">
        <v>15</v>
      </c>
    </row>
    <row r="73" ht="15.75" customHeight="1">
      <c r="A73" s="2" t="s">
        <v>2</v>
      </c>
      <c r="B73" s="15">
        <v>0.128</v>
      </c>
      <c r="C73" s="12">
        <v>0.11</v>
      </c>
      <c r="D73" s="11">
        <v>0.121</v>
      </c>
      <c r="E73" s="12">
        <v>0.11</v>
      </c>
      <c r="F73" s="8">
        <v>0.118</v>
      </c>
      <c r="G73" s="11">
        <v>0.123</v>
      </c>
      <c r="H73" s="5"/>
      <c r="I73" s="5"/>
      <c r="J73" s="5"/>
      <c r="K73" s="5"/>
      <c r="L73" s="5"/>
      <c r="M73" s="5"/>
      <c r="N73" s="6" t="s">
        <v>14</v>
      </c>
      <c r="O73" s="2" t="s">
        <v>2</v>
      </c>
      <c r="P73" s="11">
        <v>0.127</v>
      </c>
      <c r="Q73" s="12">
        <v>0.111</v>
      </c>
      <c r="R73" s="8">
        <v>0.12</v>
      </c>
      <c r="S73" s="12">
        <v>0.11</v>
      </c>
      <c r="T73" s="8">
        <v>0.117</v>
      </c>
      <c r="U73" s="11">
        <v>0.126</v>
      </c>
      <c r="V73" s="5"/>
      <c r="W73" s="5"/>
      <c r="X73" s="5"/>
      <c r="Y73" s="5"/>
      <c r="Z73" s="5"/>
      <c r="AA73" s="5"/>
      <c r="AB73" s="6" t="s">
        <v>15</v>
      </c>
    </row>
    <row r="74" ht="15.75" customHeight="1">
      <c r="A74" s="2" t="s">
        <v>3</v>
      </c>
      <c r="B74" s="15">
        <v>0.133</v>
      </c>
      <c r="C74" s="11">
        <v>0.121</v>
      </c>
      <c r="D74" s="8">
        <v>0.116</v>
      </c>
      <c r="E74" s="17">
        <v>0.17</v>
      </c>
      <c r="F74" s="11">
        <v>0.122</v>
      </c>
      <c r="G74" s="8">
        <v>0.117</v>
      </c>
      <c r="H74" s="5"/>
      <c r="I74" s="5"/>
      <c r="J74" s="5"/>
      <c r="K74" s="5"/>
      <c r="L74" s="5"/>
      <c r="M74" s="5"/>
      <c r="N74" s="6" t="s">
        <v>14</v>
      </c>
      <c r="O74" s="2" t="s">
        <v>3</v>
      </c>
      <c r="P74" s="15">
        <v>0.131</v>
      </c>
      <c r="Q74" s="8">
        <v>0.121</v>
      </c>
      <c r="R74" s="8">
        <v>0.115</v>
      </c>
      <c r="S74" s="17">
        <v>0.173</v>
      </c>
      <c r="T74" s="8">
        <v>0.12</v>
      </c>
      <c r="U74" s="8">
        <v>0.117</v>
      </c>
      <c r="V74" s="5"/>
      <c r="W74" s="5"/>
      <c r="X74" s="5"/>
      <c r="Y74" s="5"/>
      <c r="Z74" s="5"/>
      <c r="AA74" s="5"/>
      <c r="AB74" s="6" t="s">
        <v>15</v>
      </c>
    </row>
    <row r="75" ht="15.75" customHeight="1">
      <c r="A75" s="2" t="s">
        <v>4</v>
      </c>
      <c r="B75" s="12">
        <v>0.11</v>
      </c>
      <c r="C75" s="11">
        <v>0.123</v>
      </c>
      <c r="D75" s="8">
        <v>0.113</v>
      </c>
      <c r="E75" s="5"/>
      <c r="F75" s="5"/>
      <c r="G75" s="5"/>
      <c r="H75" s="5"/>
      <c r="I75" s="5"/>
      <c r="J75" s="5"/>
      <c r="K75" s="5"/>
      <c r="L75" s="5"/>
      <c r="M75" s="5"/>
      <c r="N75" s="6" t="s">
        <v>14</v>
      </c>
      <c r="O75" s="2" t="s">
        <v>4</v>
      </c>
      <c r="P75" s="12">
        <v>0.109</v>
      </c>
      <c r="Q75" s="11">
        <v>0.122</v>
      </c>
      <c r="R75" s="12">
        <v>0.113</v>
      </c>
      <c r="S75" s="5"/>
      <c r="T75" s="5"/>
      <c r="U75" s="5"/>
      <c r="V75" s="5"/>
      <c r="W75" s="5"/>
      <c r="X75" s="5"/>
      <c r="Y75" s="5"/>
      <c r="Z75" s="5"/>
      <c r="AA75" s="5"/>
      <c r="AB75" s="6" t="s">
        <v>15</v>
      </c>
    </row>
    <row r="76" ht="15.75" customHeight="1">
      <c r="A76" s="2" t="s">
        <v>5</v>
      </c>
      <c r="B76" s="13">
        <v>0.157</v>
      </c>
      <c r="C76" s="15">
        <v>0.132</v>
      </c>
      <c r="D76" s="12">
        <v>0.108</v>
      </c>
      <c r="E76" s="5"/>
      <c r="F76" s="5"/>
      <c r="G76" s="5"/>
      <c r="H76" s="5"/>
      <c r="I76" s="5"/>
      <c r="J76" s="5"/>
      <c r="K76" s="5"/>
      <c r="L76" s="5"/>
      <c r="M76" s="5"/>
      <c r="N76" s="6" t="s">
        <v>14</v>
      </c>
      <c r="O76" s="2" t="s">
        <v>5</v>
      </c>
      <c r="P76" s="13">
        <v>0.167</v>
      </c>
      <c r="Q76" s="11">
        <v>0.124</v>
      </c>
      <c r="R76" s="12">
        <v>0.108</v>
      </c>
      <c r="S76" s="5"/>
      <c r="T76" s="5"/>
      <c r="U76" s="5"/>
      <c r="V76" s="5"/>
      <c r="W76" s="5"/>
      <c r="X76" s="5"/>
      <c r="Y76" s="5"/>
      <c r="Z76" s="5"/>
      <c r="AA76" s="5"/>
      <c r="AB76" s="6" t="s">
        <v>15</v>
      </c>
    </row>
    <row r="77" ht="15.75" customHeight="1">
      <c r="A77" s="2" t="s">
        <v>6</v>
      </c>
      <c r="B77" s="12">
        <v>0.106</v>
      </c>
      <c r="C77" s="12">
        <v>0.109</v>
      </c>
      <c r="D77" s="8">
        <v>0.114</v>
      </c>
      <c r="E77" s="5"/>
      <c r="F77" s="5"/>
      <c r="G77" s="5"/>
      <c r="H77" s="5"/>
      <c r="I77" s="5"/>
      <c r="J77" s="5"/>
      <c r="K77" s="5"/>
      <c r="L77" s="5"/>
      <c r="M77" s="5"/>
      <c r="N77" s="6" t="s">
        <v>14</v>
      </c>
      <c r="O77" s="2" t="s">
        <v>6</v>
      </c>
      <c r="P77" s="9">
        <v>0.105</v>
      </c>
      <c r="Q77" s="12">
        <v>0.107</v>
      </c>
      <c r="R77" s="12">
        <v>0.113</v>
      </c>
      <c r="S77" s="5"/>
      <c r="T77" s="5"/>
      <c r="U77" s="5"/>
      <c r="V77" s="5"/>
      <c r="W77" s="5"/>
      <c r="X77" s="5"/>
      <c r="Y77" s="5"/>
      <c r="Z77" s="5"/>
      <c r="AA77" s="5"/>
      <c r="AB77" s="6" t="s">
        <v>15</v>
      </c>
    </row>
    <row r="78" ht="15.75" customHeight="1">
      <c r="A78" s="2" t="s">
        <v>7</v>
      </c>
      <c r="B78" s="16">
        <v>0.151</v>
      </c>
      <c r="C78" s="8">
        <v>0.118</v>
      </c>
      <c r="D78" s="8">
        <v>0.113</v>
      </c>
      <c r="E78" s="5"/>
      <c r="F78" s="5"/>
      <c r="G78" s="5"/>
      <c r="H78" s="5"/>
      <c r="I78" s="5"/>
      <c r="J78" s="5"/>
      <c r="K78" s="5"/>
      <c r="L78" s="5"/>
      <c r="M78" s="5"/>
      <c r="N78" s="6" t="s">
        <v>14</v>
      </c>
      <c r="O78" s="2" t="s">
        <v>7</v>
      </c>
      <c r="P78" s="14">
        <v>0.145</v>
      </c>
      <c r="Q78" s="8">
        <v>0.117</v>
      </c>
      <c r="R78" s="12">
        <v>0.113</v>
      </c>
      <c r="S78" s="5"/>
      <c r="T78" s="5"/>
      <c r="U78" s="5"/>
      <c r="V78" s="5"/>
      <c r="W78" s="5"/>
      <c r="X78" s="5"/>
      <c r="Y78" s="5"/>
      <c r="Z78" s="5"/>
      <c r="AA78" s="5"/>
      <c r="AB78" s="6" t="s">
        <v>15</v>
      </c>
    </row>
    <row r="79" ht="15.75" customHeight="1">
      <c r="A79" s="2" t="s">
        <v>8</v>
      </c>
      <c r="B79" s="12">
        <v>0.106</v>
      </c>
      <c r="C79" s="12">
        <v>0.105</v>
      </c>
      <c r="D79" s="12">
        <v>0.111</v>
      </c>
      <c r="E79" s="5"/>
      <c r="F79" s="5"/>
      <c r="G79" s="5"/>
      <c r="H79" s="5"/>
      <c r="I79" s="5"/>
      <c r="J79" s="5"/>
      <c r="K79" s="5"/>
      <c r="L79" s="5"/>
      <c r="M79" s="5"/>
      <c r="N79" s="6" t="s">
        <v>14</v>
      </c>
      <c r="O79" s="2" t="s">
        <v>8</v>
      </c>
      <c r="P79" s="9">
        <v>0.106</v>
      </c>
      <c r="Q79" s="9">
        <v>0.105</v>
      </c>
      <c r="R79" s="12">
        <v>0.11</v>
      </c>
      <c r="S79" s="5"/>
      <c r="T79" s="5"/>
      <c r="U79" s="5"/>
      <c r="V79" s="5"/>
      <c r="W79" s="5"/>
      <c r="X79" s="5"/>
      <c r="Y79" s="5"/>
      <c r="Z79" s="5"/>
      <c r="AA79" s="5"/>
      <c r="AB79" s="6" t="s">
        <v>15</v>
      </c>
    </row>
    <row r="80" ht="15.75" customHeight="1"/>
    <row r="81" ht="15.75" customHeight="1">
      <c r="A81" s="1"/>
      <c r="B81" s="2">
        <v>1.0</v>
      </c>
      <c r="C81" s="2">
        <v>2.0</v>
      </c>
      <c r="D81" s="2">
        <v>3.0</v>
      </c>
      <c r="E81" s="2">
        <v>4.0</v>
      </c>
      <c r="F81" s="2">
        <v>5.0</v>
      </c>
      <c r="G81" s="2">
        <v>6.0</v>
      </c>
      <c r="H81" s="2">
        <v>7.0</v>
      </c>
      <c r="I81" s="2">
        <v>8.0</v>
      </c>
      <c r="J81" s="2">
        <v>9.0</v>
      </c>
      <c r="K81" s="2">
        <v>10.0</v>
      </c>
      <c r="L81" s="2">
        <v>11.0</v>
      </c>
      <c r="M81" s="2">
        <v>12.0</v>
      </c>
      <c r="O81" s="1"/>
      <c r="P81" s="2">
        <v>1.0</v>
      </c>
      <c r="Q81" s="2">
        <v>2.0</v>
      </c>
      <c r="R81" s="2">
        <v>3.0</v>
      </c>
      <c r="S81" s="2">
        <v>4.0</v>
      </c>
      <c r="T81" s="2">
        <v>5.0</v>
      </c>
      <c r="U81" s="2">
        <v>6.0</v>
      </c>
      <c r="V81" s="2">
        <v>7.0</v>
      </c>
      <c r="W81" s="2">
        <v>8.0</v>
      </c>
      <c r="X81" s="2">
        <v>9.0</v>
      </c>
      <c r="Y81" s="2">
        <v>10.0</v>
      </c>
      <c r="Z81" s="2">
        <v>11.0</v>
      </c>
      <c r="AA81" s="2">
        <v>12.0</v>
      </c>
    </row>
    <row r="82" ht="15.75" customHeight="1">
      <c r="A82" s="2" t="s">
        <v>0</v>
      </c>
      <c r="B82" s="3">
        <v>0.086</v>
      </c>
      <c r="C82" s="3">
        <v>0.088</v>
      </c>
      <c r="D82" s="3">
        <v>0.087</v>
      </c>
      <c r="E82" s="15">
        <v>0.148</v>
      </c>
      <c r="F82" s="14">
        <v>0.155</v>
      </c>
      <c r="G82" s="8">
        <v>0.127</v>
      </c>
      <c r="H82" s="5"/>
      <c r="I82" s="5"/>
      <c r="J82" s="5"/>
      <c r="K82" s="5"/>
      <c r="L82" s="5"/>
      <c r="M82" s="5"/>
      <c r="N82" s="6" t="s">
        <v>16</v>
      </c>
      <c r="O82" s="2" t="s">
        <v>0</v>
      </c>
      <c r="P82" s="3">
        <v>0.085</v>
      </c>
      <c r="Q82" s="3">
        <v>0.088</v>
      </c>
      <c r="R82" s="3">
        <v>0.087</v>
      </c>
      <c r="S82" s="15">
        <v>0.148</v>
      </c>
      <c r="T82" s="14">
        <v>0.153</v>
      </c>
      <c r="U82" s="8">
        <v>0.127</v>
      </c>
      <c r="V82" s="5"/>
      <c r="W82" s="5"/>
      <c r="X82" s="5"/>
      <c r="Y82" s="5"/>
      <c r="Z82" s="5"/>
      <c r="AA82" s="5"/>
      <c r="AB82" s="6" t="s">
        <v>17</v>
      </c>
    </row>
    <row r="83" ht="15.75" customHeight="1">
      <c r="A83" s="2" t="s">
        <v>2</v>
      </c>
      <c r="B83" s="13">
        <v>0.185</v>
      </c>
      <c r="C83" s="15">
        <v>0.141</v>
      </c>
      <c r="D83" s="16">
        <v>0.17</v>
      </c>
      <c r="E83" s="15">
        <v>0.148</v>
      </c>
      <c r="F83" s="16">
        <v>0.174</v>
      </c>
      <c r="G83" s="16">
        <v>0.171</v>
      </c>
      <c r="H83" s="5"/>
      <c r="I83" s="5"/>
      <c r="J83" s="5"/>
      <c r="K83" s="5"/>
      <c r="L83" s="5"/>
      <c r="M83" s="5"/>
      <c r="N83" s="6" t="s">
        <v>16</v>
      </c>
      <c r="O83" s="2" t="s">
        <v>2</v>
      </c>
      <c r="P83" s="13">
        <v>0.184</v>
      </c>
      <c r="Q83" s="15">
        <v>0.144</v>
      </c>
      <c r="R83" s="16">
        <v>0.17</v>
      </c>
      <c r="S83" s="15">
        <v>0.147</v>
      </c>
      <c r="T83" s="16">
        <v>0.172</v>
      </c>
      <c r="U83" s="16">
        <v>0.173</v>
      </c>
      <c r="V83" s="5"/>
      <c r="W83" s="5"/>
      <c r="X83" s="5"/>
      <c r="Y83" s="5"/>
      <c r="Z83" s="5"/>
      <c r="AA83" s="5"/>
      <c r="AB83" s="6" t="s">
        <v>17</v>
      </c>
    </row>
    <row r="84" ht="15.75" customHeight="1">
      <c r="A84" s="2" t="s">
        <v>3</v>
      </c>
      <c r="B84" s="18">
        <v>0.204</v>
      </c>
      <c r="C84" s="19">
        <v>0.163</v>
      </c>
      <c r="D84" s="19">
        <v>0.163</v>
      </c>
      <c r="E84" s="10">
        <v>0.216</v>
      </c>
      <c r="F84" s="13">
        <v>0.181</v>
      </c>
      <c r="G84" s="16">
        <v>0.169</v>
      </c>
      <c r="H84" s="5"/>
      <c r="I84" s="5"/>
      <c r="J84" s="5"/>
      <c r="K84" s="5"/>
      <c r="L84" s="5"/>
      <c r="M84" s="5"/>
      <c r="N84" s="6" t="s">
        <v>16</v>
      </c>
      <c r="O84" s="2" t="s">
        <v>3</v>
      </c>
      <c r="P84" s="18">
        <v>0.2</v>
      </c>
      <c r="Q84" s="19">
        <v>0.163</v>
      </c>
      <c r="R84" s="19">
        <v>0.161</v>
      </c>
      <c r="S84" s="10">
        <v>0.218</v>
      </c>
      <c r="T84" s="16">
        <v>0.177</v>
      </c>
      <c r="U84" s="19">
        <v>0.168</v>
      </c>
      <c r="V84" s="5"/>
      <c r="W84" s="5"/>
      <c r="X84" s="5"/>
      <c r="Y84" s="5"/>
      <c r="Z84" s="5"/>
      <c r="AA84" s="5"/>
      <c r="AB84" s="6" t="s">
        <v>17</v>
      </c>
    </row>
    <row r="85" ht="15.75" customHeight="1">
      <c r="A85" s="2" t="s">
        <v>4</v>
      </c>
      <c r="B85" s="15">
        <v>0.149</v>
      </c>
      <c r="C85" s="13">
        <v>0.187</v>
      </c>
      <c r="D85" s="14">
        <v>0.157</v>
      </c>
      <c r="E85" s="5"/>
      <c r="F85" s="5"/>
      <c r="G85" s="5"/>
      <c r="H85" s="5"/>
      <c r="I85" s="5"/>
      <c r="J85" s="5"/>
      <c r="K85" s="5"/>
      <c r="L85" s="5"/>
      <c r="M85" s="5"/>
      <c r="N85" s="6" t="s">
        <v>16</v>
      </c>
      <c r="O85" s="2" t="s">
        <v>4</v>
      </c>
      <c r="P85" s="15">
        <v>0.147</v>
      </c>
      <c r="Q85" s="13">
        <v>0.185</v>
      </c>
      <c r="R85" s="14">
        <v>0.157</v>
      </c>
      <c r="S85" s="5"/>
      <c r="T85" s="5"/>
      <c r="U85" s="5"/>
      <c r="V85" s="5"/>
      <c r="W85" s="5"/>
      <c r="X85" s="5"/>
      <c r="Y85" s="5"/>
      <c r="Z85" s="5"/>
      <c r="AA85" s="5"/>
      <c r="AB85" s="6" t="s">
        <v>17</v>
      </c>
    </row>
    <row r="86" ht="15.75" customHeight="1">
      <c r="A86" s="2" t="s">
        <v>5</v>
      </c>
      <c r="B86" s="13">
        <v>0.185</v>
      </c>
      <c r="C86" s="14">
        <v>0.15</v>
      </c>
      <c r="D86" s="11">
        <v>0.133</v>
      </c>
      <c r="E86" s="5"/>
      <c r="F86" s="5"/>
      <c r="G86" s="5"/>
      <c r="H86" s="5"/>
      <c r="I86" s="5"/>
      <c r="J86" s="5"/>
      <c r="K86" s="5"/>
      <c r="L86" s="5"/>
      <c r="M86" s="5"/>
      <c r="N86" s="6" t="s">
        <v>16</v>
      </c>
      <c r="O86" s="2" t="s">
        <v>5</v>
      </c>
      <c r="P86" s="17">
        <v>0.195</v>
      </c>
      <c r="Q86" s="15">
        <v>0.143</v>
      </c>
      <c r="R86" s="11">
        <v>0.133</v>
      </c>
      <c r="S86" s="5"/>
      <c r="T86" s="5"/>
      <c r="U86" s="5"/>
      <c r="V86" s="5"/>
      <c r="W86" s="5"/>
      <c r="X86" s="5"/>
      <c r="Y86" s="5"/>
      <c r="Z86" s="5"/>
      <c r="AA86" s="5"/>
      <c r="AB86" s="6" t="s">
        <v>17</v>
      </c>
    </row>
    <row r="87" ht="15.75" customHeight="1">
      <c r="A87" s="2" t="s">
        <v>6</v>
      </c>
      <c r="B87" s="11">
        <v>0.133</v>
      </c>
      <c r="C87" s="15">
        <v>0.146</v>
      </c>
      <c r="D87" s="15">
        <v>0.144</v>
      </c>
      <c r="E87" s="5"/>
      <c r="F87" s="5"/>
      <c r="G87" s="5"/>
      <c r="H87" s="5"/>
      <c r="I87" s="5"/>
      <c r="J87" s="5"/>
      <c r="K87" s="5"/>
      <c r="L87" s="5"/>
      <c r="M87" s="5"/>
      <c r="N87" s="6" t="s">
        <v>16</v>
      </c>
      <c r="O87" s="2" t="s">
        <v>6</v>
      </c>
      <c r="P87" s="11">
        <v>0.132</v>
      </c>
      <c r="Q87" s="15">
        <v>0.144</v>
      </c>
      <c r="R87" s="15">
        <v>0.142</v>
      </c>
      <c r="S87" s="5"/>
      <c r="T87" s="5"/>
      <c r="U87" s="5"/>
      <c r="V87" s="5"/>
      <c r="W87" s="5"/>
      <c r="X87" s="5"/>
      <c r="Y87" s="5"/>
      <c r="Z87" s="5"/>
      <c r="AA87" s="5"/>
      <c r="AB87" s="6" t="s">
        <v>17</v>
      </c>
    </row>
    <row r="88" ht="15.75" customHeight="1">
      <c r="A88" s="2" t="s">
        <v>7</v>
      </c>
      <c r="B88" s="18">
        <v>0.203</v>
      </c>
      <c r="C88" s="16">
        <v>0.168</v>
      </c>
      <c r="D88" s="14">
        <v>0.15</v>
      </c>
      <c r="E88" s="5"/>
      <c r="F88" s="5"/>
      <c r="G88" s="5"/>
      <c r="H88" s="5"/>
      <c r="I88" s="5"/>
      <c r="J88" s="5"/>
      <c r="K88" s="5"/>
      <c r="L88" s="5"/>
      <c r="M88" s="5"/>
      <c r="N88" s="6" t="s">
        <v>16</v>
      </c>
      <c r="O88" s="2" t="s">
        <v>7</v>
      </c>
      <c r="P88" s="18">
        <v>0.2</v>
      </c>
      <c r="Q88" s="19">
        <v>0.167</v>
      </c>
      <c r="R88" s="15">
        <v>0.15</v>
      </c>
      <c r="S88" s="5"/>
      <c r="T88" s="5"/>
      <c r="U88" s="5"/>
      <c r="V88" s="5"/>
      <c r="W88" s="5"/>
      <c r="X88" s="5"/>
      <c r="Y88" s="5"/>
      <c r="Z88" s="5"/>
      <c r="AA88" s="5"/>
      <c r="AB88" s="6" t="s">
        <v>17</v>
      </c>
    </row>
    <row r="89" ht="15.75" customHeight="1">
      <c r="A89" s="2" t="s">
        <v>8</v>
      </c>
      <c r="B89" s="11">
        <v>0.132</v>
      </c>
      <c r="C89" s="11">
        <v>0.134</v>
      </c>
      <c r="D89" s="15">
        <v>0.145</v>
      </c>
      <c r="E89" s="5"/>
      <c r="F89" s="5"/>
      <c r="G89" s="5"/>
      <c r="H89" s="5"/>
      <c r="I89" s="5"/>
      <c r="J89" s="5"/>
      <c r="K89" s="5"/>
      <c r="L89" s="5"/>
      <c r="M89" s="5"/>
      <c r="N89" s="6" t="s">
        <v>16</v>
      </c>
      <c r="O89" s="2" t="s">
        <v>8</v>
      </c>
      <c r="P89" s="11">
        <v>0.132</v>
      </c>
      <c r="Q89" s="11">
        <v>0.134</v>
      </c>
      <c r="R89" s="15">
        <v>0.143</v>
      </c>
      <c r="S89" s="5"/>
      <c r="T89" s="5"/>
      <c r="U89" s="5"/>
      <c r="V89" s="5"/>
      <c r="W89" s="5"/>
      <c r="X89" s="5"/>
      <c r="Y89" s="5"/>
      <c r="Z89" s="5"/>
      <c r="AA89" s="5"/>
      <c r="AB89" s="6" t="s">
        <v>17</v>
      </c>
    </row>
    <row r="90" ht="15.75" customHeight="1"/>
    <row r="91" ht="15.75" customHeight="1">
      <c r="A91" s="1"/>
      <c r="B91" s="2">
        <v>1.0</v>
      </c>
      <c r="C91" s="2">
        <v>2.0</v>
      </c>
      <c r="D91" s="2">
        <v>3.0</v>
      </c>
      <c r="E91" s="2">
        <v>4.0</v>
      </c>
      <c r="F91" s="2">
        <v>5.0</v>
      </c>
      <c r="G91" s="2">
        <v>6.0</v>
      </c>
      <c r="H91" s="2">
        <v>7.0</v>
      </c>
      <c r="I91" s="2">
        <v>8.0</v>
      </c>
      <c r="J91" s="2">
        <v>9.0</v>
      </c>
      <c r="K91" s="2">
        <v>10.0</v>
      </c>
      <c r="L91" s="2">
        <v>11.0</v>
      </c>
      <c r="M91" s="2">
        <v>12.0</v>
      </c>
      <c r="O91" s="1"/>
      <c r="P91" s="2">
        <v>1.0</v>
      </c>
      <c r="Q91" s="2">
        <v>2.0</v>
      </c>
      <c r="R91" s="2">
        <v>3.0</v>
      </c>
      <c r="S91" s="2">
        <v>4.0</v>
      </c>
      <c r="T91" s="2">
        <v>5.0</v>
      </c>
      <c r="U91" s="2">
        <v>6.0</v>
      </c>
      <c r="V91" s="2">
        <v>7.0</v>
      </c>
      <c r="W91" s="2">
        <v>8.0</v>
      </c>
      <c r="X91" s="2">
        <v>9.0</v>
      </c>
      <c r="Y91" s="2">
        <v>10.0</v>
      </c>
      <c r="Z91" s="2">
        <v>11.0</v>
      </c>
      <c r="AA91" s="2">
        <v>12.0</v>
      </c>
    </row>
    <row r="92" ht="15.75" customHeight="1">
      <c r="A92" s="2" t="s">
        <v>0</v>
      </c>
      <c r="B92" s="3">
        <v>0.085</v>
      </c>
      <c r="C92" s="3">
        <v>0.087</v>
      </c>
      <c r="D92" s="4">
        <v>0.087</v>
      </c>
      <c r="E92" s="4">
        <v>0.09</v>
      </c>
      <c r="F92" s="4">
        <v>0.09</v>
      </c>
      <c r="G92" s="3">
        <v>0.086</v>
      </c>
      <c r="H92" s="5"/>
      <c r="I92" s="5"/>
      <c r="J92" s="5"/>
      <c r="K92" s="5"/>
      <c r="L92" s="5"/>
      <c r="M92" s="5"/>
      <c r="N92" s="6" t="s">
        <v>18</v>
      </c>
      <c r="O92" s="2" t="s">
        <v>0</v>
      </c>
      <c r="P92" s="3">
        <v>0.085</v>
      </c>
      <c r="Q92" s="3">
        <v>0.087</v>
      </c>
      <c r="R92" s="3">
        <v>0.087</v>
      </c>
      <c r="S92" s="4">
        <v>0.09</v>
      </c>
      <c r="T92" s="4">
        <v>0.09</v>
      </c>
      <c r="U92" s="3">
        <v>0.086</v>
      </c>
      <c r="V92" s="5"/>
      <c r="W92" s="5"/>
      <c r="X92" s="5"/>
      <c r="Y92" s="5"/>
      <c r="Z92" s="5"/>
      <c r="AA92" s="5"/>
      <c r="AB92" s="6" t="s">
        <v>19</v>
      </c>
    </row>
    <row r="93" ht="15.75" customHeight="1">
      <c r="A93" s="2" t="s">
        <v>2</v>
      </c>
      <c r="B93" s="9">
        <v>0.097</v>
      </c>
      <c r="C93" s="4">
        <v>0.092</v>
      </c>
      <c r="D93" s="4">
        <v>0.093</v>
      </c>
      <c r="E93" s="4">
        <v>0.091</v>
      </c>
      <c r="F93" s="4">
        <v>0.092</v>
      </c>
      <c r="G93" s="9">
        <v>0.1</v>
      </c>
      <c r="H93" s="5"/>
      <c r="I93" s="5"/>
      <c r="J93" s="5"/>
      <c r="K93" s="5"/>
      <c r="L93" s="5"/>
      <c r="M93" s="5"/>
      <c r="N93" s="6" t="s">
        <v>18</v>
      </c>
      <c r="O93" s="2" t="s">
        <v>2</v>
      </c>
      <c r="P93" s="9">
        <v>0.096</v>
      </c>
      <c r="Q93" s="4">
        <v>0.094</v>
      </c>
      <c r="R93" s="4">
        <v>0.093</v>
      </c>
      <c r="S93" s="4">
        <v>0.091</v>
      </c>
      <c r="T93" s="4">
        <v>0.092</v>
      </c>
      <c r="U93" s="9">
        <v>0.102</v>
      </c>
      <c r="V93" s="5"/>
      <c r="W93" s="5"/>
      <c r="X93" s="5"/>
      <c r="Y93" s="5"/>
      <c r="Z93" s="5"/>
      <c r="AA93" s="5"/>
      <c r="AB93" s="6" t="s">
        <v>19</v>
      </c>
    </row>
    <row r="94" ht="15.75" customHeight="1">
      <c r="A94" s="2" t="s">
        <v>3</v>
      </c>
      <c r="B94" s="9">
        <v>0.097</v>
      </c>
      <c r="C94" s="9">
        <v>0.098</v>
      </c>
      <c r="D94" s="4">
        <v>0.092</v>
      </c>
      <c r="E94" s="16">
        <v>0.149</v>
      </c>
      <c r="F94" s="4">
        <v>0.093</v>
      </c>
      <c r="G94" s="4">
        <v>0.092</v>
      </c>
      <c r="H94" s="5"/>
      <c r="I94" s="5"/>
      <c r="J94" s="5"/>
      <c r="K94" s="5"/>
      <c r="L94" s="5"/>
      <c r="M94" s="5"/>
      <c r="N94" s="6" t="s">
        <v>18</v>
      </c>
      <c r="O94" s="2" t="s">
        <v>3</v>
      </c>
      <c r="P94" s="9">
        <v>0.097</v>
      </c>
      <c r="Q94" s="9">
        <v>0.098</v>
      </c>
      <c r="R94" s="4">
        <v>0.092</v>
      </c>
      <c r="S94" s="16">
        <v>0.157</v>
      </c>
      <c r="T94" s="4">
        <v>0.092</v>
      </c>
      <c r="U94" s="4">
        <v>0.092</v>
      </c>
      <c r="V94" s="5"/>
      <c r="W94" s="5"/>
      <c r="X94" s="5"/>
      <c r="Y94" s="5"/>
      <c r="Z94" s="5"/>
      <c r="AA94" s="5"/>
      <c r="AB94" s="6" t="s">
        <v>19</v>
      </c>
    </row>
    <row r="95" ht="15.75" customHeight="1">
      <c r="A95" s="2" t="s">
        <v>4</v>
      </c>
      <c r="B95" s="4">
        <v>0.088</v>
      </c>
      <c r="C95" s="4">
        <v>0.089</v>
      </c>
      <c r="D95" s="4">
        <v>0.089</v>
      </c>
      <c r="E95" s="5"/>
      <c r="F95" s="5"/>
      <c r="G95" s="5"/>
      <c r="H95" s="5"/>
      <c r="I95" s="5"/>
      <c r="J95" s="5"/>
      <c r="K95" s="5"/>
      <c r="L95" s="5"/>
      <c r="M95" s="5"/>
      <c r="N95" s="6" t="s">
        <v>18</v>
      </c>
      <c r="O95" s="2" t="s">
        <v>4</v>
      </c>
      <c r="P95" s="4">
        <v>0.088</v>
      </c>
      <c r="Q95" s="4">
        <v>0.089</v>
      </c>
      <c r="R95" s="4">
        <v>0.089</v>
      </c>
      <c r="S95" s="5"/>
      <c r="T95" s="5"/>
      <c r="U95" s="5"/>
      <c r="V95" s="5"/>
      <c r="W95" s="5"/>
      <c r="X95" s="5"/>
      <c r="Y95" s="5"/>
      <c r="Z95" s="5"/>
      <c r="AA95" s="5"/>
      <c r="AB95" s="6" t="s">
        <v>19</v>
      </c>
    </row>
    <row r="96" ht="15.75" customHeight="1">
      <c r="A96" s="2" t="s">
        <v>5</v>
      </c>
      <c r="B96" s="14">
        <v>0.135</v>
      </c>
      <c r="C96" s="8">
        <v>0.115</v>
      </c>
      <c r="D96" s="4">
        <v>0.089</v>
      </c>
      <c r="E96" s="5"/>
      <c r="F96" s="5"/>
      <c r="G96" s="5"/>
      <c r="H96" s="5"/>
      <c r="I96" s="5"/>
      <c r="J96" s="5"/>
      <c r="K96" s="5"/>
      <c r="L96" s="5"/>
      <c r="M96" s="5"/>
      <c r="N96" s="6" t="s">
        <v>18</v>
      </c>
      <c r="O96" s="2" t="s">
        <v>5</v>
      </c>
      <c r="P96" s="19">
        <v>0.145</v>
      </c>
      <c r="Q96" s="12">
        <v>0.109</v>
      </c>
      <c r="R96" s="4">
        <v>0.089</v>
      </c>
      <c r="S96" s="5"/>
      <c r="T96" s="5"/>
      <c r="U96" s="5"/>
      <c r="V96" s="5"/>
      <c r="W96" s="5"/>
      <c r="X96" s="5"/>
      <c r="Y96" s="5"/>
      <c r="Z96" s="5"/>
      <c r="AA96" s="5"/>
      <c r="AB96" s="6" t="s">
        <v>19</v>
      </c>
    </row>
    <row r="97" ht="15.75" customHeight="1">
      <c r="A97" s="2" t="s">
        <v>6</v>
      </c>
      <c r="B97" s="4">
        <v>0.092</v>
      </c>
      <c r="C97" s="4">
        <v>0.089</v>
      </c>
      <c r="D97" s="4">
        <v>0.093</v>
      </c>
      <c r="E97" s="5"/>
      <c r="F97" s="5"/>
      <c r="G97" s="5"/>
      <c r="H97" s="5"/>
      <c r="I97" s="5"/>
      <c r="J97" s="5"/>
      <c r="K97" s="5"/>
      <c r="L97" s="5"/>
      <c r="M97" s="5"/>
      <c r="N97" s="6" t="s">
        <v>18</v>
      </c>
      <c r="O97" s="2" t="s">
        <v>6</v>
      </c>
      <c r="P97" s="4">
        <v>0.092</v>
      </c>
      <c r="Q97" s="4">
        <v>0.089</v>
      </c>
      <c r="R97" s="4">
        <v>0.093</v>
      </c>
      <c r="S97" s="5"/>
      <c r="T97" s="5"/>
      <c r="U97" s="5"/>
      <c r="V97" s="5"/>
      <c r="W97" s="5"/>
      <c r="X97" s="5"/>
      <c r="Y97" s="5"/>
      <c r="Z97" s="5"/>
      <c r="AA97" s="5"/>
      <c r="AB97" s="6" t="s">
        <v>19</v>
      </c>
    </row>
    <row r="98" ht="15.75" customHeight="1">
      <c r="A98" s="2" t="s">
        <v>7</v>
      </c>
      <c r="B98" s="11">
        <v>0.118</v>
      </c>
      <c r="C98" s="4">
        <v>0.091</v>
      </c>
      <c r="D98" s="4">
        <v>0.088</v>
      </c>
      <c r="E98" s="5"/>
      <c r="F98" s="5"/>
      <c r="G98" s="5"/>
      <c r="H98" s="5"/>
      <c r="I98" s="5"/>
      <c r="J98" s="5"/>
      <c r="K98" s="5"/>
      <c r="L98" s="5"/>
      <c r="M98" s="5"/>
      <c r="N98" s="6" t="s">
        <v>18</v>
      </c>
      <c r="O98" s="2" t="s">
        <v>7</v>
      </c>
      <c r="P98" s="8">
        <v>0.114</v>
      </c>
      <c r="Q98" s="4">
        <v>0.091</v>
      </c>
      <c r="R98" s="4">
        <v>0.088</v>
      </c>
      <c r="S98" s="5"/>
      <c r="T98" s="5"/>
      <c r="U98" s="5"/>
      <c r="V98" s="5"/>
      <c r="W98" s="5"/>
      <c r="X98" s="5"/>
      <c r="Y98" s="5"/>
      <c r="Z98" s="5"/>
      <c r="AA98" s="5"/>
      <c r="AB98" s="6" t="s">
        <v>19</v>
      </c>
    </row>
    <row r="99" ht="15.75" customHeight="1">
      <c r="A99" s="2" t="s">
        <v>8</v>
      </c>
      <c r="B99" s="4">
        <v>0.088</v>
      </c>
      <c r="C99" s="3">
        <v>0.087</v>
      </c>
      <c r="D99" s="4">
        <v>0.091</v>
      </c>
      <c r="E99" s="5"/>
      <c r="F99" s="5"/>
      <c r="G99" s="5"/>
      <c r="H99" s="5"/>
      <c r="I99" s="5"/>
      <c r="J99" s="5"/>
      <c r="K99" s="5"/>
      <c r="L99" s="5"/>
      <c r="M99" s="5"/>
      <c r="N99" s="6" t="s">
        <v>18</v>
      </c>
      <c r="O99" s="2" t="s">
        <v>8</v>
      </c>
      <c r="P99" s="4">
        <v>0.089</v>
      </c>
      <c r="Q99" s="3">
        <v>0.087</v>
      </c>
      <c r="R99" s="4">
        <v>0.091</v>
      </c>
      <c r="S99" s="5"/>
      <c r="T99" s="5"/>
      <c r="U99" s="5"/>
      <c r="V99" s="5"/>
      <c r="W99" s="5"/>
      <c r="X99" s="5"/>
      <c r="Y99" s="5"/>
      <c r="Z99" s="5"/>
      <c r="AA99" s="5"/>
      <c r="AB99" s="6" t="s">
        <v>19</v>
      </c>
    </row>
    <row r="100" ht="15.75" customHeight="1"/>
    <row r="101" ht="15.75" customHeight="1">
      <c r="A101" s="1"/>
      <c r="B101" s="2">
        <v>1.0</v>
      </c>
      <c r="C101" s="2">
        <v>2.0</v>
      </c>
      <c r="D101" s="2">
        <v>3.0</v>
      </c>
      <c r="E101" s="2">
        <v>4.0</v>
      </c>
      <c r="F101" s="2">
        <v>5.0</v>
      </c>
      <c r="G101" s="2">
        <v>6.0</v>
      </c>
      <c r="H101" s="2">
        <v>7.0</v>
      </c>
      <c r="I101" s="2">
        <v>8.0</v>
      </c>
      <c r="J101" s="2">
        <v>9.0</v>
      </c>
      <c r="K101" s="2">
        <v>10.0</v>
      </c>
      <c r="L101" s="2">
        <v>11.0</v>
      </c>
      <c r="M101" s="2">
        <v>12.0</v>
      </c>
    </row>
    <row r="102" ht="15.75" customHeight="1">
      <c r="A102" s="2" t="s">
        <v>0</v>
      </c>
      <c r="B102" s="3">
        <v>0.088</v>
      </c>
      <c r="C102" s="3">
        <v>0.091</v>
      </c>
      <c r="D102" s="3">
        <v>0.09</v>
      </c>
      <c r="E102" s="8">
        <v>0.121</v>
      </c>
      <c r="F102" s="11">
        <v>0.125</v>
      </c>
      <c r="G102" s="12">
        <v>0.11</v>
      </c>
      <c r="H102" s="5"/>
      <c r="I102" s="5"/>
      <c r="J102" s="5"/>
      <c r="K102" s="5"/>
      <c r="L102" s="5"/>
      <c r="M102" s="5"/>
      <c r="N102" s="6" t="s">
        <v>13</v>
      </c>
    </row>
    <row r="103" ht="15.75" customHeight="1">
      <c r="A103" s="2" t="s">
        <v>2</v>
      </c>
      <c r="B103" s="15">
        <v>0.134</v>
      </c>
      <c r="C103" s="8">
        <v>0.117</v>
      </c>
      <c r="D103" s="11">
        <v>0.126</v>
      </c>
      <c r="E103" s="12">
        <v>0.113</v>
      </c>
      <c r="F103" s="8">
        <v>0.12</v>
      </c>
      <c r="G103" s="11">
        <v>0.128</v>
      </c>
      <c r="H103" s="5"/>
      <c r="I103" s="5"/>
      <c r="J103" s="5"/>
      <c r="K103" s="5"/>
      <c r="L103" s="5"/>
      <c r="M103" s="5"/>
      <c r="N103" s="6" t="s">
        <v>13</v>
      </c>
    </row>
    <row r="104" ht="15.75" customHeight="1">
      <c r="A104" s="2" t="s">
        <v>3</v>
      </c>
      <c r="B104" s="15">
        <v>0.136</v>
      </c>
      <c r="C104" s="11">
        <v>0.126</v>
      </c>
      <c r="D104" s="8">
        <v>0.118</v>
      </c>
      <c r="E104" s="18">
        <v>0.179</v>
      </c>
      <c r="F104" s="11">
        <v>0.124</v>
      </c>
      <c r="G104" s="8">
        <v>0.122</v>
      </c>
      <c r="H104" s="5"/>
      <c r="I104" s="5"/>
      <c r="J104" s="5"/>
      <c r="K104" s="5"/>
      <c r="L104" s="5"/>
      <c r="M104" s="5"/>
      <c r="N104" s="6" t="s">
        <v>13</v>
      </c>
    </row>
    <row r="105" ht="15.75" customHeight="1">
      <c r="A105" s="2" t="s">
        <v>4</v>
      </c>
      <c r="B105" s="12">
        <v>0.114</v>
      </c>
      <c r="C105" s="11">
        <v>0.127</v>
      </c>
      <c r="D105" s="8">
        <v>0.117</v>
      </c>
      <c r="E105" s="5"/>
      <c r="F105" s="5"/>
      <c r="G105" s="5"/>
      <c r="H105" s="5"/>
      <c r="I105" s="5"/>
      <c r="J105" s="5"/>
      <c r="K105" s="5"/>
      <c r="L105" s="5"/>
      <c r="M105" s="5"/>
      <c r="N105" s="6" t="s">
        <v>13</v>
      </c>
    </row>
    <row r="106" ht="15.75" customHeight="1">
      <c r="A106" s="2" t="s">
        <v>5</v>
      </c>
      <c r="B106" s="17">
        <v>0.174</v>
      </c>
      <c r="C106" s="15">
        <v>0.135</v>
      </c>
      <c r="D106" s="12">
        <v>0.114</v>
      </c>
      <c r="E106" s="5"/>
      <c r="F106" s="5"/>
      <c r="G106" s="5"/>
      <c r="H106" s="5"/>
      <c r="I106" s="5"/>
      <c r="J106" s="5"/>
      <c r="K106" s="5"/>
      <c r="L106" s="5"/>
      <c r="M106" s="5"/>
      <c r="N106" s="6" t="s">
        <v>13</v>
      </c>
    </row>
    <row r="107" ht="15.75" customHeight="1">
      <c r="A107" s="2" t="s">
        <v>6</v>
      </c>
      <c r="B107" s="12">
        <v>0.109</v>
      </c>
      <c r="C107" s="12">
        <v>0.112</v>
      </c>
      <c r="D107" s="8">
        <v>0.116</v>
      </c>
      <c r="E107" s="5"/>
      <c r="F107" s="5"/>
      <c r="G107" s="5"/>
      <c r="H107" s="5"/>
      <c r="I107" s="5"/>
      <c r="J107" s="5"/>
      <c r="K107" s="5"/>
      <c r="L107" s="5"/>
      <c r="M107" s="5"/>
      <c r="N107" s="6" t="s">
        <v>13</v>
      </c>
    </row>
    <row r="108" ht="15.75" customHeight="1">
      <c r="A108" s="2" t="s">
        <v>7</v>
      </c>
      <c r="B108" s="16">
        <v>0.155</v>
      </c>
      <c r="C108" s="11">
        <v>0.124</v>
      </c>
      <c r="D108" s="8">
        <v>0.119</v>
      </c>
      <c r="E108" s="5"/>
      <c r="F108" s="5"/>
      <c r="G108" s="5"/>
      <c r="H108" s="5"/>
      <c r="I108" s="5"/>
      <c r="J108" s="5"/>
      <c r="K108" s="5"/>
      <c r="L108" s="5"/>
      <c r="M108" s="5"/>
      <c r="N108" s="6" t="s">
        <v>13</v>
      </c>
    </row>
    <row r="109" ht="15.75" customHeight="1">
      <c r="A109" s="2" t="s">
        <v>8</v>
      </c>
      <c r="B109" s="12">
        <v>0.112</v>
      </c>
      <c r="C109" s="12">
        <v>0.112</v>
      </c>
      <c r="D109" s="8">
        <v>0.116</v>
      </c>
      <c r="E109" s="5"/>
      <c r="F109" s="5"/>
      <c r="G109" s="5"/>
      <c r="H109" s="5"/>
      <c r="I109" s="5"/>
      <c r="J109" s="5"/>
      <c r="K109" s="5"/>
      <c r="L109" s="5"/>
      <c r="M109" s="5"/>
      <c r="N109" s="6" t="s">
        <v>13</v>
      </c>
    </row>
    <row r="110" ht="15.75" customHeight="1"/>
    <row r="111" ht="15.75" customHeight="1">
      <c r="A111" s="1"/>
      <c r="B111" s="2">
        <v>1.0</v>
      </c>
      <c r="C111" s="2">
        <v>2.0</v>
      </c>
      <c r="D111" s="2">
        <v>3.0</v>
      </c>
      <c r="E111" s="2">
        <v>4.0</v>
      </c>
      <c r="F111" s="2">
        <v>5.0</v>
      </c>
      <c r="G111" s="2">
        <v>6.0</v>
      </c>
      <c r="H111" s="2">
        <v>7.0</v>
      </c>
      <c r="I111" s="2">
        <v>8.0</v>
      </c>
      <c r="J111" s="2">
        <v>9.0</v>
      </c>
      <c r="K111" s="2">
        <v>10.0</v>
      </c>
      <c r="L111" s="2">
        <v>11.0</v>
      </c>
      <c r="M111" s="2">
        <v>12.0</v>
      </c>
    </row>
    <row r="112" ht="15.75" customHeight="1">
      <c r="A112" s="2" t="s">
        <v>0</v>
      </c>
      <c r="B112" s="3">
        <v>0.086</v>
      </c>
      <c r="C112" s="3">
        <v>0.089</v>
      </c>
      <c r="D112" s="3">
        <v>0.088</v>
      </c>
      <c r="E112" s="12">
        <v>0.114</v>
      </c>
      <c r="F112" s="8">
        <v>0.117</v>
      </c>
      <c r="G112" s="9">
        <v>0.102</v>
      </c>
      <c r="H112" s="5"/>
      <c r="I112" s="5"/>
      <c r="J112" s="5"/>
      <c r="K112" s="5"/>
      <c r="L112" s="5"/>
      <c r="M112" s="5"/>
      <c r="N112" s="6" t="s">
        <v>15</v>
      </c>
    </row>
    <row r="113" ht="15.75" customHeight="1">
      <c r="A113" s="2" t="s">
        <v>2</v>
      </c>
      <c r="B113" s="11">
        <v>0.127</v>
      </c>
      <c r="C113" s="12">
        <v>0.111</v>
      </c>
      <c r="D113" s="8">
        <v>0.12</v>
      </c>
      <c r="E113" s="12">
        <v>0.11</v>
      </c>
      <c r="F113" s="8">
        <v>0.117</v>
      </c>
      <c r="G113" s="11">
        <v>0.126</v>
      </c>
      <c r="H113" s="5"/>
      <c r="I113" s="5"/>
      <c r="J113" s="5"/>
      <c r="K113" s="5"/>
      <c r="L113" s="5"/>
      <c r="M113" s="5"/>
      <c r="N113" s="6" t="s">
        <v>15</v>
      </c>
    </row>
    <row r="114" ht="15.75" customHeight="1">
      <c r="A114" s="2" t="s">
        <v>3</v>
      </c>
      <c r="B114" s="15">
        <v>0.131</v>
      </c>
      <c r="C114" s="8">
        <v>0.121</v>
      </c>
      <c r="D114" s="8">
        <v>0.115</v>
      </c>
      <c r="E114" s="17">
        <v>0.173</v>
      </c>
      <c r="F114" s="8">
        <v>0.12</v>
      </c>
      <c r="G114" s="8">
        <v>0.117</v>
      </c>
      <c r="H114" s="5"/>
      <c r="I114" s="5"/>
      <c r="J114" s="5"/>
      <c r="K114" s="5"/>
      <c r="L114" s="5"/>
      <c r="M114" s="5"/>
      <c r="N114" s="6" t="s">
        <v>15</v>
      </c>
    </row>
    <row r="115" ht="15.75" customHeight="1">
      <c r="A115" s="2" t="s">
        <v>4</v>
      </c>
      <c r="B115" s="12">
        <v>0.109</v>
      </c>
      <c r="C115" s="11">
        <v>0.122</v>
      </c>
      <c r="D115" s="12">
        <v>0.113</v>
      </c>
      <c r="E115" s="5"/>
      <c r="F115" s="5"/>
      <c r="G115" s="5"/>
      <c r="H115" s="5"/>
      <c r="I115" s="5"/>
      <c r="J115" s="5"/>
      <c r="K115" s="5"/>
      <c r="L115" s="5"/>
      <c r="M115" s="5"/>
      <c r="N115" s="6" t="s">
        <v>15</v>
      </c>
    </row>
    <row r="116" ht="15.75" customHeight="1">
      <c r="A116" s="2" t="s">
        <v>5</v>
      </c>
      <c r="B116" s="13">
        <v>0.167</v>
      </c>
      <c r="C116" s="11">
        <v>0.124</v>
      </c>
      <c r="D116" s="12">
        <v>0.108</v>
      </c>
      <c r="E116" s="5"/>
      <c r="F116" s="5"/>
      <c r="G116" s="5"/>
      <c r="H116" s="5"/>
      <c r="I116" s="5"/>
      <c r="J116" s="5"/>
      <c r="K116" s="5"/>
      <c r="L116" s="5"/>
      <c r="M116" s="5"/>
      <c r="N116" s="6" t="s">
        <v>15</v>
      </c>
    </row>
    <row r="117" ht="15.75" customHeight="1">
      <c r="A117" s="2" t="s">
        <v>6</v>
      </c>
      <c r="B117" s="9">
        <v>0.105</v>
      </c>
      <c r="C117" s="12">
        <v>0.107</v>
      </c>
      <c r="D117" s="12">
        <v>0.113</v>
      </c>
      <c r="E117" s="5"/>
      <c r="F117" s="5"/>
      <c r="G117" s="5"/>
      <c r="H117" s="5"/>
      <c r="I117" s="5"/>
      <c r="J117" s="5"/>
      <c r="K117" s="5"/>
      <c r="L117" s="5"/>
      <c r="M117" s="5"/>
      <c r="N117" s="6" t="s">
        <v>15</v>
      </c>
    </row>
    <row r="118" ht="15.75" customHeight="1">
      <c r="A118" s="2" t="s">
        <v>7</v>
      </c>
      <c r="B118" s="14">
        <v>0.145</v>
      </c>
      <c r="C118" s="8">
        <v>0.117</v>
      </c>
      <c r="D118" s="12">
        <v>0.113</v>
      </c>
      <c r="E118" s="5"/>
      <c r="F118" s="5"/>
      <c r="G118" s="5"/>
      <c r="H118" s="5"/>
      <c r="I118" s="5"/>
      <c r="J118" s="5"/>
      <c r="K118" s="5"/>
      <c r="L118" s="5"/>
      <c r="M118" s="5"/>
      <c r="N118" s="6" t="s">
        <v>15</v>
      </c>
    </row>
    <row r="119" ht="15.75" customHeight="1">
      <c r="A119" s="2" t="s">
        <v>8</v>
      </c>
      <c r="B119" s="9">
        <v>0.106</v>
      </c>
      <c r="C119" s="9">
        <v>0.105</v>
      </c>
      <c r="D119" s="12">
        <v>0.11</v>
      </c>
      <c r="E119" s="5"/>
      <c r="F119" s="5"/>
      <c r="G119" s="5"/>
      <c r="H119" s="5"/>
      <c r="I119" s="5"/>
      <c r="J119" s="5"/>
      <c r="K119" s="5"/>
      <c r="L119" s="5"/>
      <c r="M119" s="5"/>
      <c r="N119" s="6" t="s">
        <v>15</v>
      </c>
    </row>
    <row r="120" ht="15.75" customHeight="1"/>
    <row r="121" ht="15.75" customHeight="1">
      <c r="A121" s="1"/>
      <c r="B121" s="2">
        <v>1.0</v>
      </c>
      <c r="C121" s="2">
        <v>2.0</v>
      </c>
      <c r="D121" s="2">
        <v>3.0</v>
      </c>
      <c r="E121" s="2">
        <v>4.0</v>
      </c>
      <c r="F121" s="2">
        <v>5.0</v>
      </c>
      <c r="G121" s="2">
        <v>6.0</v>
      </c>
      <c r="H121" s="2">
        <v>7.0</v>
      </c>
      <c r="I121" s="2">
        <v>8.0</v>
      </c>
      <c r="J121" s="2">
        <v>9.0</v>
      </c>
      <c r="K121" s="2">
        <v>10.0</v>
      </c>
      <c r="L121" s="2">
        <v>11.0</v>
      </c>
      <c r="M121" s="2">
        <v>12.0</v>
      </c>
    </row>
    <row r="122" ht="15.75" customHeight="1">
      <c r="A122" s="2" t="s">
        <v>0</v>
      </c>
      <c r="B122" s="3">
        <v>0.085</v>
      </c>
      <c r="C122" s="3">
        <v>0.088</v>
      </c>
      <c r="D122" s="3">
        <v>0.087</v>
      </c>
      <c r="E122" s="15">
        <v>0.148</v>
      </c>
      <c r="F122" s="14">
        <v>0.153</v>
      </c>
      <c r="G122" s="8">
        <v>0.127</v>
      </c>
      <c r="H122" s="5"/>
      <c r="I122" s="5"/>
      <c r="J122" s="5"/>
      <c r="K122" s="5"/>
      <c r="L122" s="5"/>
      <c r="M122" s="5"/>
      <c r="N122" s="6" t="s">
        <v>17</v>
      </c>
    </row>
    <row r="123" ht="15.75" customHeight="1">
      <c r="A123" s="2" t="s">
        <v>2</v>
      </c>
      <c r="B123" s="13">
        <v>0.184</v>
      </c>
      <c r="C123" s="15">
        <v>0.144</v>
      </c>
      <c r="D123" s="16">
        <v>0.17</v>
      </c>
      <c r="E123" s="15">
        <v>0.147</v>
      </c>
      <c r="F123" s="16">
        <v>0.172</v>
      </c>
      <c r="G123" s="16">
        <v>0.173</v>
      </c>
      <c r="H123" s="5"/>
      <c r="I123" s="5"/>
      <c r="J123" s="5"/>
      <c r="K123" s="5"/>
      <c r="L123" s="5"/>
      <c r="M123" s="5"/>
      <c r="N123" s="6" t="s">
        <v>17</v>
      </c>
    </row>
    <row r="124" ht="15.75" customHeight="1">
      <c r="A124" s="2" t="s">
        <v>3</v>
      </c>
      <c r="B124" s="18">
        <v>0.2</v>
      </c>
      <c r="C124" s="19">
        <v>0.163</v>
      </c>
      <c r="D124" s="19">
        <v>0.161</v>
      </c>
      <c r="E124" s="10">
        <v>0.218</v>
      </c>
      <c r="F124" s="16">
        <v>0.177</v>
      </c>
      <c r="G124" s="19">
        <v>0.168</v>
      </c>
      <c r="H124" s="5"/>
      <c r="I124" s="5"/>
      <c r="J124" s="5"/>
      <c r="K124" s="5"/>
      <c r="L124" s="5"/>
      <c r="M124" s="5"/>
      <c r="N124" s="6" t="s">
        <v>17</v>
      </c>
    </row>
    <row r="125" ht="15.75" customHeight="1">
      <c r="A125" s="2" t="s">
        <v>4</v>
      </c>
      <c r="B125" s="15">
        <v>0.147</v>
      </c>
      <c r="C125" s="13">
        <v>0.185</v>
      </c>
      <c r="D125" s="14">
        <v>0.157</v>
      </c>
      <c r="E125" s="5"/>
      <c r="F125" s="5"/>
      <c r="G125" s="5"/>
      <c r="H125" s="5"/>
      <c r="I125" s="5"/>
      <c r="J125" s="5"/>
      <c r="K125" s="5"/>
      <c r="L125" s="5"/>
      <c r="M125" s="5"/>
      <c r="N125" s="6" t="s">
        <v>17</v>
      </c>
    </row>
    <row r="126" ht="15.75" customHeight="1">
      <c r="A126" s="2" t="s">
        <v>5</v>
      </c>
      <c r="B126" s="17">
        <v>0.195</v>
      </c>
      <c r="C126" s="15">
        <v>0.143</v>
      </c>
      <c r="D126" s="11">
        <v>0.133</v>
      </c>
      <c r="E126" s="5"/>
      <c r="F126" s="5"/>
      <c r="G126" s="5"/>
      <c r="H126" s="5"/>
      <c r="I126" s="5"/>
      <c r="J126" s="5"/>
      <c r="K126" s="5"/>
      <c r="L126" s="5"/>
      <c r="M126" s="5"/>
      <c r="N126" s="6" t="s">
        <v>17</v>
      </c>
    </row>
    <row r="127" ht="15.75" customHeight="1">
      <c r="A127" s="2" t="s">
        <v>6</v>
      </c>
      <c r="B127" s="11">
        <v>0.132</v>
      </c>
      <c r="C127" s="15">
        <v>0.144</v>
      </c>
      <c r="D127" s="15">
        <v>0.142</v>
      </c>
      <c r="E127" s="5"/>
      <c r="F127" s="5"/>
      <c r="G127" s="5"/>
      <c r="H127" s="5"/>
      <c r="I127" s="5"/>
      <c r="J127" s="5"/>
      <c r="K127" s="5"/>
      <c r="L127" s="5"/>
      <c r="M127" s="5"/>
      <c r="N127" s="6" t="s">
        <v>17</v>
      </c>
    </row>
    <row r="128" ht="15.75" customHeight="1">
      <c r="A128" s="2" t="s">
        <v>7</v>
      </c>
      <c r="B128" s="18">
        <v>0.2</v>
      </c>
      <c r="C128" s="19">
        <v>0.167</v>
      </c>
      <c r="D128" s="15">
        <v>0.15</v>
      </c>
      <c r="E128" s="5"/>
      <c r="F128" s="5"/>
      <c r="G128" s="5"/>
      <c r="H128" s="5"/>
      <c r="I128" s="5"/>
      <c r="J128" s="5"/>
      <c r="K128" s="5"/>
      <c r="L128" s="5"/>
      <c r="M128" s="5"/>
      <c r="N128" s="6" t="s">
        <v>17</v>
      </c>
    </row>
    <row r="129" ht="15.75" customHeight="1">
      <c r="A129" s="2" t="s">
        <v>8</v>
      </c>
      <c r="B129" s="11">
        <v>0.132</v>
      </c>
      <c r="C129" s="11">
        <v>0.134</v>
      </c>
      <c r="D129" s="15">
        <v>0.143</v>
      </c>
      <c r="E129" s="5"/>
      <c r="F129" s="5"/>
      <c r="G129" s="5"/>
      <c r="H129" s="5"/>
      <c r="I129" s="5"/>
      <c r="J129" s="5"/>
      <c r="K129" s="5"/>
      <c r="L129" s="5"/>
      <c r="M129" s="5"/>
      <c r="N129" s="6" t="s">
        <v>17</v>
      </c>
    </row>
    <row r="130" ht="15.75" customHeight="1"/>
    <row r="131" ht="15.75" customHeight="1">
      <c r="A131" s="1"/>
      <c r="B131" s="2">
        <v>1.0</v>
      </c>
      <c r="C131" s="2">
        <v>2.0</v>
      </c>
      <c r="D131" s="2">
        <v>3.0</v>
      </c>
      <c r="E131" s="2">
        <v>4.0</v>
      </c>
      <c r="F131" s="2">
        <v>5.0</v>
      </c>
      <c r="G131" s="2">
        <v>6.0</v>
      </c>
      <c r="H131" s="2">
        <v>7.0</v>
      </c>
      <c r="I131" s="2">
        <v>8.0</v>
      </c>
      <c r="J131" s="2">
        <v>9.0</v>
      </c>
      <c r="K131" s="2">
        <v>10.0</v>
      </c>
      <c r="L131" s="2">
        <v>11.0</v>
      </c>
      <c r="M131" s="2">
        <v>12.0</v>
      </c>
    </row>
    <row r="132" ht="15.75" customHeight="1">
      <c r="A132" s="2" t="s">
        <v>0</v>
      </c>
      <c r="B132" s="3">
        <v>0.085</v>
      </c>
      <c r="C132" s="3">
        <v>0.087</v>
      </c>
      <c r="D132" s="3">
        <v>0.087</v>
      </c>
      <c r="E132" s="4">
        <v>0.09</v>
      </c>
      <c r="F132" s="4">
        <v>0.09</v>
      </c>
      <c r="G132" s="3">
        <v>0.086</v>
      </c>
      <c r="H132" s="5"/>
      <c r="I132" s="5"/>
      <c r="J132" s="5"/>
      <c r="K132" s="5"/>
      <c r="L132" s="5"/>
      <c r="M132" s="5"/>
      <c r="N132" s="6" t="s">
        <v>19</v>
      </c>
    </row>
    <row r="133" ht="15.75" customHeight="1">
      <c r="A133" s="2" t="s">
        <v>2</v>
      </c>
      <c r="B133" s="9">
        <v>0.096</v>
      </c>
      <c r="C133" s="4">
        <v>0.094</v>
      </c>
      <c r="D133" s="4">
        <v>0.093</v>
      </c>
      <c r="E133" s="4">
        <v>0.091</v>
      </c>
      <c r="F133" s="4">
        <v>0.092</v>
      </c>
      <c r="G133" s="9">
        <v>0.102</v>
      </c>
      <c r="H133" s="5"/>
      <c r="I133" s="5"/>
      <c r="J133" s="5"/>
      <c r="K133" s="5"/>
      <c r="L133" s="5"/>
      <c r="M133" s="5"/>
      <c r="N133" s="6" t="s">
        <v>19</v>
      </c>
    </row>
    <row r="134" ht="15.75" customHeight="1">
      <c r="A134" s="2" t="s">
        <v>3</v>
      </c>
      <c r="B134" s="9">
        <v>0.097</v>
      </c>
      <c r="C134" s="9">
        <v>0.098</v>
      </c>
      <c r="D134" s="4">
        <v>0.092</v>
      </c>
      <c r="E134" s="16">
        <v>0.157</v>
      </c>
      <c r="F134" s="4">
        <v>0.092</v>
      </c>
      <c r="G134" s="4">
        <v>0.092</v>
      </c>
      <c r="H134" s="5"/>
      <c r="I134" s="5"/>
      <c r="J134" s="5"/>
      <c r="K134" s="5"/>
      <c r="L134" s="5"/>
      <c r="M134" s="5"/>
      <c r="N134" s="6" t="s">
        <v>19</v>
      </c>
    </row>
    <row r="135" ht="15.75" customHeight="1">
      <c r="A135" s="2" t="s">
        <v>4</v>
      </c>
      <c r="B135" s="4">
        <v>0.088</v>
      </c>
      <c r="C135" s="4">
        <v>0.089</v>
      </c>
      <c r="D135" s="4">
        <v>0.089</v>
      </c>
      <c r="E135" s="5"/>
      <c r="F135" s="5"/>
      <c r="G135" s="5"/>
      <c r="H135" s="5"/>
      <c r="I135" s="5"/>
      <c r="J135" s="5"/>
      <c r="K135" s="5"/>
      <c r="L135" s="5"/>
      <c r="M135" s="5"/>
      <c r="N135" s="6" t="s">
        <v>19</v>
      </c>
    </row>
    <row r="136" ht="15.75" customHeight="1">
      <c r="A136" s="2" t="s">
        <v>5</v>
      </c>
      <c r="B136" s="19">
        <v>0.145</v>
      </c>
      <c r="C136" s="12">
        <v>0.109</v>
      </c>
      <c r="D136" s="4">
        <v>0.089</v>
      </c>
      <c r="E136" s="5"/>
      <c r="F136" s="5"/>
      <c r="G136" s="5"/>
      <c r="H136" s="5"/>
      <c r="I136" s="5"/>
      <c r="J136" s="5"/>
      <c r="K136" s="5"/>
      <c r="L136" s="5"/>
      <c r="M136" s="5"/>
      <c r="N136" s="6" t="s">
        <v>19</v>
      </c>
    </row>
    <row r="137" ht="15.75" customHeight="1">
      <c r="A137" s="2" t="s">
        <v>6</v>
      </c>
      <c r="B137" s="4">
        <v>0.092</v>
      </c>
      <c r="C137" s="4">
        <v>0.089</v>
      </c>
      <c r="D137" s="4">
        <v>0.093</v>
      </c>
      <c r="E137" s="5"/>
      <c r="F137" s="5"/>
      <c r="G137" s="5"/>
      <c r="H137" s="5"/>
      <c r="I137" s="5"/>
      <c r="J137" s="5"/>
      <c r="K137" s="5"/>
      <c r="L137" s="5"/>
      <c r="M137" s="5"/>
      <c r="N137" s="6" t="s">
        <v>19</v>
      </c>
    </row>
    <row r="138" ht="15.75" customHeight="1">
      <c r="A138" s="2" t="s">
        <v>7</v>
      </c>
      <c r="B138" s="8">
        <v>0.114</v>
      </c>
      <c r="C138" s="4">
        <v>0.091</v>
      </c>
      <c r="D138" s="4">
        <v>0.088</v>
      </c>
      <c r="E138" s="5"/>
      <c r="F138" s="5"/>
      <c r="G138" s="5"/>
      <c r="H138" s="5"/>
      <c r="I138" s="5"/>
      <c r="J138" s="5"/>
      <c r="K138" s="5"/>
      <c r="L138" s="5"/>
      <c r="M138" s="5"/>
      <c r="N138" s="6" t="s">
        <v>19</v>
      </c>
    </row>
    <row r="139" ht="15.75" customHeight="1">
      <c r="A139" s="2" t="s">
        <v>8</v>
      </c>
      <c r="B139" s="4">
        <v>0.089</v>
      </c>
      <c r="C139" s="3">
        <v>0.087</v>
      </c>
      <c r="D139" s="4">
        <v>0.091</v>
      </c>
      <c r="E139" s="5"/>
      <c r="F139" s="5"/>
      <c r="G139" s="5"/>
      <c r="H139" s="5"/>
      <c r="I139" s="5"/>
      <c r="J139" s="5"/>
      <c r="K139" s="5"/>
      <c r="L139" s="5"/>
      <c r="M139" s="5"/>
      <c r="N139" s="6" t="s">
        <v>19</v>
      </c>
    </row>
    <row r="140" ht="15.75" customHeight="1"/>
    <row r="141" ht="15.75" customHeight="1">
      <c r="A141" s="1"/>
      <c r="B141" s="2">
        <v>1.0</v>
      </c>
      <c r="C141" s="2">
        <v>2.0</v>
      </c>
      <c r="D141" s="2">
        <v>3.0</v>
      </c>
      <c r="E141" s="2">
        <v>4.0</v>
      </c>
      <c r="F141" s="2">
        <v>5.0</v>
      </c>
      <c r="G141" s="2">
        <v>6.0</v>
      </c>
      <c r="H141" s="2">
        <v>7.0</v>
      </c>
      <c r="I141" s="2">
        <v>8.0</v>
      </c>
      <c r="J141" s="2">
        <v>9.0</v>
      </c>
      <c r="K141" s="2">
        <v>10.0</v>
      </c>
      <c r="L141" s="2">
        <v>11.0</v>
      </c>
      <c r="M141" s="2">
        <v>12.0</v>
      </c>
    </row>
    <row r="142" ht="15.75" customHeight="1">
      <c r="A142" s="2" t="s">
        <v>0</v>
      </c>
      <c r="B142" s="3">
        <v>-0.001</v>
      </c>
      <c r="C142" s="3">
        <v>0.001</v>
      </c>
      <c r="D142" s="3">
        <v>0.001</v>
      </c>
      <c r="E142" s="11">
        <v>0.032</v>
      </c>
      <c r="F142" s="11">
        <v>0.036</v>
      </c>
      <c r="G142" s="12">
        <v>0.02</v>
      </c>
      <c r="H142" s="5"/>
      <c r="I142" s="5"/>
      <c r="J142" s="5"/>
      <c r="K142" s="5"/>
      <c r="L142" s="5"/>
      <c r="M142" s="5"/>
      <c r="N142" s="6" t="s">
        <v>20</v>
      </c>
    </row>
    <row r="143" ht="15.75" customHeight="1">
      <c r="A143" s="2" t="s">
        <v>2</v>
      </c>
      <c r="B143" s="15">
        <v>0.046</v>
      </c>
      <c r="C143" s="8">
        <v>0.026</v>
      </c>
      <c r="D143" s="11">
        <v>0.036</v>
      </c>
      <c r="E143" s="8">
        <v>0.03</v>
      </c>
      <c r="F143" s="8">
        <v>0.03</v>
      </c>
      <c r="G143" s="11">
        <v>0.035</v>
      </c>
      <c r="H143" s="5"/>
      <c r="I143" s="5"/>
      <c r="J143" s="5"/>
      <c r="K143" s="5"/>
      <c r="L143" s="5"/>
      <c r="M143" s="5"/>
      <c r="N143" s="6" t="s">
        <v>20</v>
      </c>
    </row>
    <row r="144" ht="15.75" customHeight="1">
      <c r="A144" s="2" t="s">
        <v>3</v>
      </c>
      <c r="B144" s="14">
        <v>0.048</v>
      </c>
      <c r="C144" s="11">
        <v>0.036</v>
      </c>
      <c r="D144" s="8">
        <v>0.029</v>
      </c>
      <c r="E144" s="17">
        <v>0.081</v>
      </c>
      <c r="F144" s="11">
        <v>0.036</v>
      </c>
      <c r="G144" s="11">
        <v>0.033</v>
      </c>
      <c r="H144" s="5"/>
      <c r="I144" s="5"/>
      <c r="J144" s="5"/>
      <c r="K144" s="5"/>
      <c r="L144" s="5"/>
      <c r="M144" s="5"/>
      <c r="N144" s="6" t="s">
        <v>20</v>
      </c>
    </row>
    <row r="145" ht="15.75" customHeight="1">
      <c r="A145" s="2" t="s">
        <v>4</v>
      </c>
      <c r="B145" s="12">
        <v>0.024</v>
      </c>
      <c r="C145" s="11">
        <v>0.037</v>
      </c>
      <c r="D145" s="8">
        <v>0.027</v>
      </c>
      <c r="E145" s="5"/>
      <c r="F145" s="5"/>
      <c r="G145" s="5"/>
      <c r="H145" s="5"/>
      <c r="I145" s="5"/>
      <c r="J145" s="5"/>
      <c r="K145" s="5"/>
      <c r="L145" s="5"/>
      <c r="M145" s="5"/>
      <c r="N145" s="6" t="s">
        <v>20</v>
      </c>
    </row>
    <row r="146" ht="15.75" customHeight="1">
      <c r="A146" s="2" t="s">
        <v>5</v>
      </c>
      <c r="B146" s="17">
        <v>0.077</v>
      </c>
      <c r="C146" s="14">
        <v>0.054</v>
      </c>
      <c r="D146" s="8">
        <v>0.024</v>
      </c>
      <c r="E146" s="5"/>
      <c r="F146" s="5"/>
      <c r="G146" s="5"/>
      <c r="H146" s="5"/>
      <c r="I146" s="5"/>
      <c r="J146" s="5"/>
      <c r="K146" s="5"/>
      <c r="L146" s="5"/>
      <c r="M146" s="5"/>
      <c r="N146" s="6" t="s">
        <v>20</v>
      </c>
    </row>
    <row r="147" ht="15.75" customHeight="1">
      <c r="A147" s="2" t="s">
        <v>6</v>
      </c>
      <c r="B147" s="12">
        <v>0.02</v>
      </c>
      <c r="C147" s="12">
        <v>0.022</v>
      </c>
      <c r="D147" s="8">
        <v>0.026</v>
      </c>
      <c r="E147" s="5"/>
      <c r="F147" s="5"/>
      <c r="G147" s="5"/>
      <c r="H147" s="5"/>
      <c r="I147" s="5"/>
      <c r="J147" s="5"/>
      <c r="K147" s="5"/>
      <c r="L147" s="5"/>
      <c r="M147" s="5"/>
      <c r="N147" s="6" t="s">
        <v>20</v>
      </c>
    </row>
    <row r="148" ht="15.75" customHeight="1">
      <c r="A148" s="2" t="s">
        <v>7</v>
      </c>
      <c r="B148" s="13">
        <v>0.071</v>
      </c>
      <c r="C148" s="11">
        <v>0.034</v>
      </c>
      <c r="D148" s="8">
        <v>0.029</v>
      </c>
      <c r="E148" s="5"/>
      <c r="F148" s="5"/>
      <c r="G148" s="5"/>
      <c r="H148" s="5"/>
      <c r="I148" s="5"/>
      <c r="J148" s="5"/>
      <c r="K148" s="5"/>
      <c r="L148" s="5"/>
      <c r="M148" s="5"/>
      <c r="N148" s="6" t="s">
        <v>20</v>
      </c>
    </row>
    <row r="149" ht="15.75" customHeight="1">
      <c r="A149" s="2" t="s">
        <v>8</v>
      </c>
      <c r="B149" s="12">
        <v>0.021</v>
      </c>
      <c r="C149" s="12">
        <v>0.022</v>
      </c>
      <c r="D149" s="8">
        <v>0.028</v>
      </c>
      <c r="E149" s="5"/>
      <c r="F149" s="5"/>
      <c r="G149" s="5"/>
      <c r="H149" s="5"/>
      <c r="I149" s="5"/>
      <c r="J149" s="5"/>
      <c r="K149" s="5"/>
      <c r="L149" s="5"/>
      <c r="M149" s="5"/>
      <c r="N149" s="6" t="s">
        <v>20</v>
      </c>
    </row>
    <row r="150" ht="15.75" customHeight="1"/>
    <row r="151" ht="15.75" customHeight="1">
      <c r="A151" s="1"/>
      <c r="B151" s="2">
        <v>1.0</v>
      </c>
      <c r="C151" s="2">
        <v>2.0</v>
      </c>
      <c r="D151" s="2">
        <v>3.0</v>
      </c>
      <c r="E151" s="2">
        <v>4.0</v>
      </c>
      <c r="F151" s="2">
        <v>5.0</v>
      </c>
      <c r="G151" s="2">
        <v>6.0</v>
      </c>
      <c r="H151" s="2">
        <v>7.0</v>
      </c>
      <c r="I151" s="2">
        <v>8.0</v>
      </c>
      <c r="J151" s="2">
        <v>9.0</v>
      </c>
      <c r="K151" s="2">
        <v>10.0</v>
      </c>
      <c r="L151" s="2">
        <v>11.0</v>
      </c>
      <c r="M151" s="2">
        <v>12.0</v>
      </c>
    </row>
    <row r="152" ht="15.75" customHeight="1">
      <c r="A152" s="2" t="s">
        <v>0</v>
      </c>
      <c r="B152" s="3">
        <v>-0.001</v>
      </c>
      <c r="C152" s="3">
        <v>0.001</v>
      </c>
      <c r="D152" s="3">
        <v>0.0</v>
      </c>
      <c r="E152" s="8">
        <v>0.026</v>
      </c>
      <c r="F152" s="8">
        <v>0.029</v>
      </c>
      <c r="G152" s="9">
        <v>0.015</v>
      </c>
      <c r="H152" s="5"/>
      <c r="I152" s="5"/>
      <c r="J152" s="5"/>
      <c r="K152" s="5"/>
      <c r="L152" s="5"/>
      <c r="M152" s="5"/>
      <c r="N152" s="6" t="s">
        <v>21</v>
      </c>
    </row>
    <row r="153" ht="15.75" customHeight="1">
      <c r="A153" s="2" t="s">
        <v>2</v>
      </c>
      <c r="B153" s="15">
        <v>0.04</v>
      </c>
      <c r="C153" s="12">
        <v>0.022</v>
      </c>
      <c r="D153" s="11">
        <v>0.033</v>
      </c>
      <c r="E153" s="12">
        <v>0.022</v>
      </c>
      <c r="F153" s="8">
        <v>0.03</v>
      </c>
      <c r="G153" s="11">
        <v>0.035</v>
      </c>
      <c r="H153" s="5"/>
      <c r="I153" s="5"/>
      <c r="J153" s="5"/>
      <c r="K153" s="5"/>
      <c r="L153" s="5"/>
      <c r="M153" s="5"/>
      <c r="N153" s="6" t="s">
        <v>21</v>
      </c>
    </row>
    <row r="154" ht="15.75" customHeight="1">
      <c r="A154" s="2" t="s">
        <v>3</v>
      </c>
      <c r="B154" s="15">
        <v>0.045</v>
      </c>
      <c r="C154" s="11">
        <v>0.033</v>
      </c>
      <c r="D154" s="8">
        <v>0.027</v>
      </c>
      <c r="E154" s="17">
        <v>0.082</v>
      </c>
      <c r="F154" s="11">
        <v>0.034</v>
      </c>
      <c r="G154" s="8">
        <v>0.029</v>
      </c>
      <c r="H154" s="5"/>
      <c r="I154" s="5"/>
      <c r="J154" s="5"/>
      <c r="K154" s="5"/>
      <c r="L154" s="5"/>
      <c r="M154" s="5"/>
      <c r="N154" s="6" t="s">
        <v>21</v>
      </c>
    </row>
    <row r="155" ht="15.75" customHeight="1">
      <c r="A155" s="2" t="s">
        <v>4</v>
      </c>
      <c r="B155" s="12">
        <v>0.022</v>
      </c>
      <c r="C155" s="11">
        <v>0.035</v>
      </c>
      <c r="D155" s="8">
        <v>0.025</v>
      </c>
      <c r="E155" s="5"/>
      <c r="F155" s="5"/>
      <c r="G155" s="5"/>
      <c r="H155" s="5"/>
      <c r="I155" s="5"/>
      <c r="J155" s="5"/>
      <c r="K155" s="5"/>
      <c r="L155" s="5"/>
      <c r="M155" s="5"/>
      <c r="N155" s="6" t="s">
        <v>21</v>
      </c>
    </row>
    <row r="156" ht="15.75" customHeight="1">
      <c r="A156" s="2" t="s">
        <v>5</v>
      </c>
      <c r="B156" s="13">
        <v>0.069</v>
      </c>
      <c r="C156" s="15">
        <v>0.044</v>
      </c>
      <c r="D156" s="12">
        <v>0.02</v>
      </c>
      <c r="E156" s="5"/>
      <c r="F156" s="5"/>
      <c r="G156" s="5"/>
      <c r="H156" s="5"/>
      <c r="I156" s="5"/>
      <c r="J156" s="5"/>
      <c r="K156" s="5"/>
      <c r="L156" s="5"/>
      <c r="M156" s="5"/>
      <c r="N156" s="6" t="s">
        <v>21</v>
      </c>
    </row>
    <row r="157" ht="15.75" customHeight="1">
      <c r="A157" s="2" t="s">
        <v>6</v>
      </c>
      <c r="B157" s="12">
        <v>0.018</v>
      </c>
      <c r="C157" s="12">
        <v>0.021</v>
      </c>
      <c r="D157" s="8">
        <v>0.026</v>
      </c>
      <c r="E157" s="5"/>
      <c r="F157" s="5"/>
      <c r="G157" s="5"/>
      <c r="H157" s="5"/>
      <c r="I157" s="5"/>
      <c r="J157" s="5"/>
      <c r="K157" s="5"/>
      <c r="L157" s="5"/>
      <c r="M157" s="5"/>
      <c r="N157" s="6" t="s">
        <v>21</v>
      </c>
    </row>
    <row r="158" ht="15.75" customHeight="1">
      <c r="A158" s="2" t="s">
        <v>7</v>
      </c>
      <c r="B158" s="16">
        <v>0.063</v>
      </c>
      <c r="C158" s="8">
        <v>0.03</v>
      </c>
      <c r="D158" s="8">
        <v>0.025</v>
      </c>
      <c r="E158" s="5"/>
      <c r="F158" s="5"/>
      <c r="G158" s="5"/>
      <c r="H158" s="5"/>
      <c r="I158" s="5"/>
      <c r="J158" s="5"/>
      <c r="K158" s="5"/>
      <c r="L158" s="5"/>
      <c r="M158" s="5"/>
      <c r="N158" s="6" t="s">
        <v>21</v>
      </c>
    </row>
    <row r="159" ht="15.75" customHeight="1">
      <c r="A159" s="2" t="s">
        <v>8</v>
      </c>
      <c r="B159" s="12">
        <v>0.018</v>
      </c>
      <c r="C159" s="12">
        <v>0.017</v>
      </c>
      <c r="D159" s="12">
        <v>0.023</v>
      </c>
      <c r="E159" s="5"/>
      <c r="F159" s="5"/>
      <c r="G159" s="5"/>
      <c r="H159" s="5"/>
      <c r="I159" s="5"/>
      <c r="J159" s="5"/>
      <c r="K159" s="5"/>
      <c r="L159" s="5"/>
      <c r="M159" s="5"/>
      <c r="N159" s="6" t="s">
        <v>21</v>
      </c>
    </row>
    <row r="160" ht="15.75" customHeight="1"/>
    <row r="161" ht="15.75" customHeight="1">
      <c r="A161" s="1"/>
      <c r="B161" s="2">
        <v>1.0</v>
      </c>
      <c r="C161" s="2">
        <v>2.0</v>
      </c>
      <c r="D161" s="2">
        <v>3.0</v>
      </c>
      <c r="E161" s="2">
        <v>4.0</v>
      </c>
      <c r="F161" s="2">
        <v>5.0</v>
      </c>
      <c r="G161" s="2">
        <v>6.0</v>
      </c>
      <c r="H161" s="2">
        <v>7.0</v>
      </c>
      <c r="I161" s="2">
        <v>8.0</v>
      </c>
      <c r="J161" s="2">
        <v>9.0</v>
      </c>
      <c r="K161" s="2">
        <v>10.0</v>
      </c>
      <c r="L161" s="2">
        <v>11.0</v>
      </c>
      <c r="M161" s="2">
        <v>12.0</v>
      </c>
    </row>
    <row r="162" ht="15.75" customHeight="1">
      <c r="A162" s="2" t="s">
        <v>0</v>
      </c>
      <c r="B162" s="3">
        <v>-0.001</v>
      </c>
      <c r="C162" s="3">
        <v>0.001</v>
      </c>
      <c r="D162" s="3">
        <v>0.0</v>
      </c>
      <c r="E162" s="15">
        <v>0.061</v>
      </c>
      <c r="F162" s="14">
        <v>0.068</v>
      </c>
      <c r="G162" s="8">
        <v>0.041</v>
      </c>
      <c r="H162" s="5"/>
      <c r="I162" s="5"/>
      <c r="J162" s="5"/>
      <c r="K162" s="5"/>
      <c r="L162" s="5"/>
      <c r="M162" s="5"/>
      <c r="N162" s="6" t="s">
        <v>22</v>
      </c>
    </row>
    <row r="163" ht="15.75" customHeight="1">
      <c r="A163" s="2" t="s">
        <v>2</v>
      </c>
      <c r="B163" s="13">
        <v>0.098</v>
      </c>
      <c r="C163" s="15">
        <v>0.054</v>
      </c>
      <c r="D163" s="16">
        <v>0.083</v>
      </c>
      <c r="E163" s="15">
        <v>0.061</v>
      </c>
      <c r="F163" s="16">
        <v>0.087</v>
      </c>
      <c r="G163" s="16">
        <v>0.084</v>
      </c>
      <c r="H163" s="5"/>
      <c r="I163" s="5"/>
      <c r="J163" s="5"/>
      <c r="K163" s="5"/>
      <c r="L163" s="5"/>
      <c r="M163" s="5"/>
      <c r="N163" s="6" t="s">
        <v>22</v>
      </c>
    </row>
    <row r="164" ht="15.75" customHeight="1">
      <c r="A164" s="2" t="s">
        <v>3</v>
      </c>
      <c r="B164" s="18">
        <v>0.117</v>
      </c>
      <c r="C164" s="19">
        <v>0.076</v>
      </c>
      <c r="D164" s="19">
        <v>0.077</v>
      </c>
      <c r="E164" s="10">
        <v>0.129</v>
      </c>
      <c r="F164" s="13">
        <v>0.094</v>
      </c>
      <c r="G164" s="16">
        <v>0.083</v>
      </c>
      <c r="H164" s="5"/>
      <c r="I164" s="5"/>
      <c r="J164" s="5"/>
      <c r="K164" s="5"/>
      <c r="L164" s="5"/>
      <c r="M164" s="5"/>
      <c r="N164" s="6" t="s">
        <v>22</v>
      </c>
    </row>
    <row r="165" ht="15.75" customHeight="1">
      <c r="A165" s="2" t="s">
        <v>4</v>
      </c>
      <c r="B165" s="15">
        <v>0.062</v>
      </c>
      <c r="C165" s="13">
        <v>0.1</v>
      </c>
      <c r="D165" s="14">
        <v>0.07</v>
      </c>
      <c r="E165" s="5"/>
      <c r="F165" s="5"/>
      <c r="G165" s="5"/>
      <c r="H165" s="5"/>
      <c r="I165" s="5"/>
      <c r="J165" s="5"/>
      <c r="K165" s="5"/>
      <c r="L165" s="5"/>
      <c r="M165" s="5"/>
      <c r="N165" s="6" t="s">
        <v>22</v>
      </c>
    </row>
    <row r="166" ht="15.75" customHeight="1">
      <c r="A166" s="2" t="s">
        <v>5</v>
      </c>
      <c r="B166" s="13">
        <v>0.099</v>
      </c>
      <c r="C166" s="14">
        <v>0.063</v>
      </c>
      <c r="D166" s="11">
        <v>0.046</v>
      </c>
      <c r="E166" s="5"/>
      <c r="F166" s="5"/>
      <c r="G166" s="5"/>
      <c r="H166" s="5"/>
      <c r="I166" s="5"/>
      <c r="J166" s="5"/>
      <c r="K166" s="5"/>
      <c r="L166" s="5"/>
      <c r="M166" s="5"/>
      <c r="N166" s="6" t="s">
        <v>22</v>
      </c>
    </row>
    <row r="167" ht="15.75" customHeight="1">
      <c r="A167" s="2" t="s">
        <v>6</v>
      </c>
      <c r="B167" s="11">
        <v>0.046</v>
      </c>
      <c r="C167" s="15">
        <v>0.059</v>
      </c>
      <c r="D167" s="15">
        <v>0.057</v>
      </c>
      <c r="E167" s="5"/>
      <c r="F167" s="5"/>
      <c r="G167" s="5"/>
      <c r="H167" s="5"/>
      <c r="I167" s="5"/>
      <c r="J167" s="5"/>
      <c r="K167" s="5"/>
      <c r="L167" s="5"/>
      <c r="M167" s="5"/>
      <c r="N167" s="6" t="s">
        <v>22</v>
      </c>
    </row>
    <row r="168" ht="15.75" customHeight="1">
      <c r="A168" s="2" t="s">
        <v>7</v>
      </c>
      <c r="B168" s="18">
        <v>0.116</v>
      </c>
      <c r="C168" s="16">
        <v>0.081</v>
      </c>
      <c r="D168" s="14">
        <v>0.063</v>
      </c>
      <c r="E168" s="5"/>
      <c r="F168" s="5"/>
      <c r="G168" s="5"/>
      <c r="H168" s="5"/>
      <c r="I168" s="5"/>
      <c r="J168" s="5"/>
      <c r="K168" s="5"/>
      <c r="L168" s="5"/>
      <c r="M168" s="5"/>
      <c r="N168" s="6" t="s">
        <v>22</v>
      </c>
    </row>
    <row r="169" ht="15.75" customHeight="1">
      <c r="A169" s="2" t="s">
        <v>8</v>
      </c>
      <c r="B169" s="11">
        <v>0.045</v>
      </c>
      <c r="C169" s="11">
        <v>0.047</v>
      </c>
      <c r="D169" s="15">
        <v>0.059</v>
      </c>
      <c r="E169" s="5"/>
      <c r="F169" s="5"/>
      <c r="G169" s="5"/>
      <c r="H169" s="5"/>
      <c r="I169" s="5"/>
      <c r="J169" s="5"/>
      <c r="K169" s="5"/>
      <c r="L169" s="5"/>
      <c r="M169" s="5"/>
      <c r="N169" s="6" t="s">
        <v>22</v>
      </c>
    </row>
    <row r="170" ht="15.75" customHeight="1"/>
    <row r="171" ht="15.75" customHeight="1">
      <c r="A171" s="1"/>
      <c r="B171" s="2">
        <v>1.0</v>
      </c>
      <c r="C171" s="2">
        <v>2.0</v>
      </c>
      <c r="D171" s="2">
        <v>3.0</v>
      </c>
      <c r="E171" s="2">
        <v>4.0</v>
      </c>
      <c r="F171" s="2">
        <v>5.0</v>
      </c>
      <c r="G171" s="2">
        <v>6.0</v>
      </c>
      <c r="H171" s="2">
        <v>7.0</v>
      </c>
      <c r="I171" s="2">
        <v>8.0</v>
      </c>
      <c r="J171" s="2">
        <v>9.0</v>
      </c>
      <c r="K171" s="2">
        <v>10.0</v>
      </c>
      <c r="L171" s="2">
        <v>11.0</v>
      </c>
      <c r="M171" s="2">
        <v>12.0</v>
      </c>
    </row>
    <row r="172" ht="15.75" customHeight="1">
      <c r="A172" s="2" t="s">
        <v>0</v>
      </c>
      <c r="B172" s="3">
        <v>-0.001</v>
      </c>
      <c r="C172" s="3">
        <v>0.0</v>
      </c>
      <c r="D172" s="4">
        <v>0.001</v>
      </c>
      <c r="E172" s="4">
        <v>0.004</v>
      </c>
      <c r="F172" s="4">
        <v>0.003</v>
      </c>
      <c r="G172" s="3">
        <v>0.0</v>
      </c>
      <c r="H172" s="5"/>
      <c r="I172" s="5"/>
      <c r="J172" s="5"/>
      <c r="K172" s="5"/>
      <c r="L172" s="5"/>
      <c r="M172" s="5"/>
      <c r="N172" s="6" t="s">
        <v>23</v>
      </c>
    </row>
    <row r="173" ht="15.75" customHeight="1">
      <c r="A173" s="2" t="s">
        <v>2</v>
      </c>
      <c r="B173" s="9">
        <v>0.01</v>
      </c>
      <c r="C173" s="4">
        <v>0.005</v>
      </c>
      <c r="D173" s="4">
        <v>0.007</v>
      </c>
      <c r="E173" s="4">
        <v>0.005</v>
      </c>
      <c r="F173" s="4">
        <v>0.005</v>
      </c>
      <c r="G173" s="9">
        <v>0.014</v>
      </c>
      <c r="H173" s="5"/>
      <c r="I173" s="5"/>
      <c r="J173" s="5"/>
      <c r="K173" s="5"/>
      <c r="L173" s="5"/>
      <c r="M173" s="5"/>
      <c r="N173" s="6" t="s">
        <v>23</v>
      </c>
    </row>
    <row r="174" ht="15.75" customHeight="1">
      <c r="A174" s="2" t="s">
        <v>3</v>
      </c>
      <c r="B174" s="9">
        <v>0.01</v>
      </c>
      <c r="C174" s="9">
        <v>0.011</v>
      </c>
      <c r="D174" s="4">
        <v>0.006</v>
      </c>
      <c r="E174" s="16">
        <v>0.063</v>
      </c>
      <c r="F174" s="4">
        <v>0.006</v>
      </c>
      <c r="G174" s="4">
        <v>0.006</v>
      </c>
      <c r="H174" s="5"/>
      <c r="I174" s="5"/>
      <c r="J174" s="5"/>
      <c r="K174" s="5"/>
      <c r="L174" s="5"/>
      <c r="M174" s="5"/>
      <c r="N174" s="6" t="s">
        <v>23</v>
      </c>
    </row>
    <row r="175" ht="15.75" customHeight="1">
      <c r="A175" s="2" t="s">
        <v>4</v>
      </c>
      <c r="B175" s="4">
        <v>0.002</v>
      </c>
      <c r="C175" s="4">
        <v>0.003</v>
      </c>
      <c r="D175" s="4">
        <v>0.002</v>
      </c>
      <c r="E175" s="5"/>
      <c r="F175" s="5"/>
      <c r="G175" s="5"/>
      <c r="H175" s="5"/>
      <c r="I175" s="5"/>
      <c r="J175" s="5"/>
      <c r="K175" s="5"/>
      <c r="L175" s="5"/>
      <c r="M175" s="5"/>
      <c r="N175" s="6" t="s">
        <v>23</v>
      </c>
    </row>
    <row r="176" ht="15.75" customHeight="1">
      <c r="A176" s="2" t="s">
        <v>5</v>
      </c>
      <c r="B176" s="14">
        <v>0.049</v>
      </c>
      <c r="C176" s="8">
        <v>0.028</v>
      </c>
      <c r="D176" s="4">
        <v>0.003</v>
      </c>
      <c r="E176" s="5"/>
      <c r="F176" s="5"/>
      <c r="G176" s="5"/>
      <c r="H176" s="5"/>
      <c r="I176" s="5"/>
      <c r="J176" s="5"/>
      <c r="K176" s="5"/>
      <c r="L176" s="5"/>
      <c r="M176" s="5"/>
      <c r="N176" s="6" t="s">
        <v>23</v>
      </c>
    </row>
    <row r="177" ht="15.75" customHeight="1">
      <c r="A177" s="2" t="s">
        <v>6</v>
      </c>
      <c r="B177" s="4">
        <v>0.006</v>
      </c>
      <c r="C177" s="4">
        <v>0.003</v>
      </c>
      <c r="D177" s="4">
        <v>0.007</v>
      </c>
      <c r="E177" s="5"/>
      <c r="F177" s="5"/>
      <c r="G177" s="5"/>
      <c r="H177" s="5"/>
      <c r="I177" s="5"/>
      <c r="J177" s="5"/>
      <c r="K177" s="5"/>
      <c r="L177" s="5"/>
      <c r="M177" s="5"/>
      <c r="N177" s="6" t="s">
        <v>23</v>
      </c>
    </row>
    <row r="178" ht="15.75" customHeight="1">
      <c r="A178" s="2" t="s">
        <v>7</v>
      </c>
      <c r="B178" s="11">
        <v>0.032</v>
      </c>
      <c r="C178" s="4">
        <v>0.005</v>
      </c>
      <c r="D178" s="4">
        <v>0.002</v>
      </c>
      <c r="E178" s="5"/>
      <c r="F178" s="5"/>
      <c r="G178" s="5"/>
      <c r="H178" s="5"/>
      <c r="I178" s="5"/>
      <c r="J178" s="5"/>
      <c r="K178" s="5"/>
      <c r="L178" s="5"/>
      <c r="M178" s="5"/>
      <c r="N178" s="6" t="s">
        <v>23</v>
      </c>
    </row>
    <row r="179" ht="15.75" customHeight="1">
      <c r="A179" s="2" t="s">
        <v>8</v>
      </c>
      <c r="B179" s="4">
        <v>0.002</v>
      </c>
      <c r="C179" s="3">
        <v>0.001</v>
      </c>
      <c r="D179" s="4">
        <v>0.005</v>
      </c>
      <c r="E179" s="5"/>
      <c r="F179" s="5"/>
      <c r="G179" s="5"/>
      <c r="H179" s="5"/>
      <c r="I179" s="5"/>
      <c r="J179" s="5"/>
      <c r="K179" s="5"/>
      <c r="L179" s="5"/>
      <c r="M179" s="5"/>
      <c r="N179" s="6" t="s">
        <v>23</v>
      </c>
    </row>
    <row r="180" ht="15.75" customHeight="1"/>
    <row r="181" ht="15.75" customHeight="1">
      <c r="A181" s="1"/>
      <c r="B181" s="2">
        <v>1.0</v>
      </c>
      <c r="C181" s="2">
        <v>2.0</v>
      </c>
      <c r="D181" s="2">
        <v>3.0</v>
      </c>
      <c r="E181" s="2">
        <v>4.0</v>
      </c>
      <c r="F181" s="2">
        <v>5.0</v>
      </c>
      <c r="G181" s="2">
        <v>6.0</v>
      </c>
      <c r="H181" s="2">
        <v>7.0</v>
      </c>
      <c r="I181" s="2">
        <v>8.0</v>
      </c>
      <c r="J181" s="2">
        <v>9.0</v>
      </c>
      <c r="K181" s="2">
        <v>10.0</v>
      </c>
      <c r="L181" s="2">
        <v>11.0</v>
      </c>
      <c r="M181" s="2">
        <v>12.0</v>
      </c>
    </row>
    <row r="182" ht="15.75" customHeight="1">
      <c r="A182" s="2" t="s">
        <v>0</v>
      </c>
      <c r="B182" s="3">
        <v>-0.002</v>
      </c>
      <c r="C182" s="3">
        <v>0.001</v>
      </c>
      <c r="D182" s="3">
        <v>0.001</v>
      </c>
      <c r="E182" s="8">
        <v>0.031</v>
      </c>
      <c r="F182" s="11">
        <v>0.035</v>
      </c>
      <c r="G182" s="12">
        <v>0.02</v>
      </c>
      <c r="H182" s="5"/>
      <c r="I182" s="5"/>
      <c r="J182" s="5"/>
      <c r="K182" s="5"/>
      <c r="L182" s="5"/>
      <c r="M182" s="5"/>
      <c r="N182" s="6" t="s">
        <v>24</v>
      </c>
    </row>
    <row r="183" ht="15.75" customHeight="1">
      <c r="A183" s="2" t="s">
        <v>2</v>
      </c>
      <c r="B183" s="15">
        <v>0.044</v>
      </c>
      <c r="C183" s="8">
        <v>0.027</v>
      </c>
      <c r="D183" s="11">
        <v>0.036</v>
      </c>
      <c r="E183" s="12">
        <v>0.023</v>
      </c>
      <c r="F183" s="8">
        <v>0.03</v>
      </c>
      <c r="G183" s="11">
        <v>0.038</v>
      </c>
      <c r="H183" s="5"/>
      <c r="I183" s="5"/>
      <c r="J183" s="5"/>
      <c r="K183" s="5"/>
      <c r="L183" s="5"/>
      <c r="M183" s="5"/>
      <c r="N183" s="6" t="s">
        <v>24</v>
      </c>
    </row>
    <row r="184" ht="15.75" customHeight="1">
      <c r="A184" s="2" t="s">
        <v>3</v>
      </c>
      <c r="B184" s="15">
        <v>0.046</v>
      </c>
      <c r="C184" s="11">
        <v>0.036</v>
      </c>
      <c r="D184" s="8">
        <v>0.029</v>
      </c>
      <c r="E184" s="18">
        <v>0.089</v>
      </c>
      <c r="F184" s="11">
        <v>0.034</v>
      </c>
      <c r="G184" s="8">
        <v>0.032</v>
      </c>
      <c r="H184" s="5"/>
      <c r="I184" s="5"/>
      <c r="J184" s="5"/>
      <c r="K184" s="5"/>
      <c r="L184" s="5"/>
      <c r="M184" s="5"/>
      <c r="N184" s="6" t="s">
        <v>24</v>
      </c>
    </row>
    <row r="185" ht="15.75" customHeight="1">
      <c r="A185" s="2" t="s">
        <v>4</v>
      </c>
      <c r="B185" s="12">
        <v>0.024</v>
      </c>
      <c r="C185" s="11">
        <v>0.037</v>
      </c>
      <c r="D185" s="8">
        <v>0.027</v>
      </c>
      <c r="E185" s="5"/>
      <c r="F185" s="5"/>
      <c r="G185" s="5"/>
      <c r="H185" s="5"/>
      <c r="I185" s="5"/>
      <c r="J185" s="5"/>
      <c r="K185" s="5"/>
      <c r="L185" s="5"/>
      <c r="M185" s="5"/>
      <c r="N185" s="6" t="s">
        <v>24</v>
      </c>
    </row>
    <row r="186" ht="15.75" customHeight="1">
      <c r="A186" s="2" t="s">
        <v>5</v>
      </c>
      <c r="B186" s="17">
        <v>0.085</v>
      </c>
      <c r="C186" s="15">
        <v>0.045</v>
      </c>
      <c r="D186" s="12">
        <v>0.025</v>
      </c>
      <c r="E186" s="5"/>
      <c r="F186" s="5"/>
      <c r="G186" s="5"/>
      <c r="H186" s="5"/>
      <c r="I186" s="5"/>
      <c r="J186" s="5"/>
      <c r="K186" s="5"/>
      <c r="L186" s="5"/>
      <c r="M186" s="5"/>
      <c r="N186" s="6" t="s">
        <v>24</v>
      </c>
    </row>
    <row r="187" ht="15.75" customHeight="1">
      <c r="A187" s="2" t="s">
        <v>6</v>
      </c>
      <c r="B187" s="12">
        <v>0.019</v>
      </c>
      <c r="C187" s="12">
        <v>0.022</v>
      </c>
      <c r="D187" s="8">
        <v>0.026</v>
      </c>
      <c r="E187" s="5"/>
      <c r="F187" s="5"/>
      <c r="G187" s="5"/>
      <c r="H187" s="5"/>
      <c r="I187" s="5"/>
      <c r="J187" s="5"/>
      <c r="K187" s="5"/>
      <c r="L187" s="5"/>
      <c r="M187" s="5"/>
      <c r="N187" s="6" t="s">
        <v>24</v>
      </c>
    </row>
    <row r="188" ht="15.75" customHeight="1">
      <c r="A188" s="2" t="s">
        <v>7</v>
      </c>
      <c r="B188" s="16">
        <v>0.065</v>
      </c>
      <c r="C188" s="11">
        <v>0.034</v>
      </c>
      <c r="D188" s="8">
        <v>0.029</v>
      </c>
      <c r="E188" s="5"/>
      <c r="F188" s="5"/>
      <c r="G188" s="5"/>
      <c r="H188" s="5"/>
      <c r="I188" s="5"/>
      <c r="J188" s="5"/>
      <c r="K188" s="5"/>
      <c r="L188" s="5"/>
      <c r="M188" s="5"/>
      <c r="N188" s="6" t="s">
        <v>24</v>
      </c>
    </row>
    <row r="189" ht="15.75" customHeight="1">
      <c r="A189" s="2" t="s">
        <v>8</v>
      </c>
      <c r="B189" s="12">
        <v>0.022</v>
      </c>
      <c r="C189" s="12">
        <v>0.022</v>
      </c>
      <c r="D189" s="8">
        <v>0.026</v>
      </c>
      <c r="E189" s="5"/>
      <c r="F189" s="5"/>
      <c r="G189" s="5"/>
      <c r="H189" s="5"/>
      <c r="I189" s="5"/>
      <c r="J189" s="5"/>
      <c r="K189" s="5"/>
      <c r="L189" s="5"/>
      <c r="M189" s="5"/>
      <c r="N189" s="6" t="s">
        <v>24</v>
      </c>
    </row>
    <row r="190" ht="15.75" customHeight="1"/>
    <row r="191" ht="15.75" customHeight="1">
      <c r="A191" s="1"/>
      <c r="B191" s="2">
        <v>1.0</v>
      </c>
      <c r="C191" s="2">
        <v>2.0</v>
      </c>
      <c r="D191" s="2">
        <v>3.0</v>
      </c>
      <c r="E191" s="2">
        <v>4.0</v>
      </c>
      <c r="F191" s="2">
        <v>5.0</v>
      </c>
      <c r="G191" s="2">
        <v>6.0</v>
      </c>
      <c r="H191" s="2">
        <v>7.0</v>
      </c>
      <c r="I191" s="2">
        <v>8.0</v>
      </c>
      <c r="J191" s="2">
        <v>9.0</v>
      </c>
      <c r="K191" s="2">
        <v>10.0</v>
      </c>
      <c r="L191" s="2">
        <v>11.0</v>
      </c>
      <c r="M191" s="2">
        <v>12.0</v>
      </c>
    </row>
    <row r="192" ht="15.75" customHeight="1">
      <c r="A192" s="2" t="s">
        <v>0</v>
      </c>
      <c r="B192" s="3">
        <v>-0.002</v>
      </c>
      <c r="C192" s="3">
        <v>0.001</v>
      </c>
      <c r="D192" s="3">
        <v>0.0</v>
      </c>
      <c r="E192" s="12">
        <v>0.026</v>
      </c>
      <c r="F192" s="8">
        <v>0.029</v>
      </c>
      <c r="G192" s="9">
        <v>0.015</v>
      </c>
      <c r="H192" s="5"/>
      <c r="I192" s="5"/>
      <c r="J192" s="5"/>
      <c r="K192" s="5"/>
      <c r="L192" s="5"/>
      <c r="M192" s="5"/>
      <c r="N192" s="6" t="s">
        <v>25</v>
      </c>
    </row>
    <row r="193" ht="15.75" customHeight="1">
      <c r="A193" s="2" t="s">
        <v>2</v>
      </c>
      <c r="B193" s="11">
        <v>0.039</v>
      </c>
      <c r="C193" s="12">
        <v>0.024</v>
      </c>
      <c r="D193" s="8">
        <v>0.033</v>
      </c>
      <c r="E193" s="12">
        <v>0.022</v>
      </c>
      <c r="F193" s="8">
        <v>0.029</v>
      </c>
      <c r="G193" s="11">
        <v>0.038</v>
      </c>
      <c r="H193" s="5"/>
      <c r="I193" s="5"/>
      <c r="J193" s="5"/>
      <c r="K193" s="5"/>
      <c r="L193" s="5"/>
      <c r="M193" s="5"/>
      <c r="N193" s="6" t="s">
        <v>25</v>
      </c>
    </row>
    <row r="194" ht="15.75" customHeight="1">
      <c r="A194" s="2" t="s">
        <v>3</v>
      </c>
      <c r="B194" s="15">
        <v>0.044</v>
      </c>
      <c r="C194" s="8">
        <v>0.033</v>
      </c>
      <c r="D194" s="8">
        <v>0.027</v>
      </c>
      <c r="E194" s="17">
        <v>0.086</v>
      </c>
      <c r="F194" s="8">
        <v>0.033</v>
      </c>
      <c r="G194" s="8">
        <v>0.029</v>
      </c>
      <c r="H194" s="5"/>
      <c r="I194" s="5"/>
      <c r="J194" s="5"/>
      <c r="K194" s="5"/>
      <c r="L194" s="5"/>
      <c r="M194" s="5"/>
      <c r="N194" s="6" t="s">
        <v>25</v>
      </c>
    </row>
    <row r="195" ht="15.75" customHeight="1">
      <c r="A195" s="2" t="s">
        <v>4</v>
      </c>
      <c r="B195" s="12">
        <v>0.022</v>
      </c>
      <c r="C195" s="11">
        <v>0.035</v>
      </c>
      <c r="D195" s="12">
        <v>0.025</v>
      </c>
      <c r="E195" s="5"/>
      <c r="F195" s="5"/>
      <c r="G195" s="5"/>
      <c r="H195" s="5"/>
      <c r="I195" s="5"/>
      <c r="J195" s="5"/>
      <c r="K195" s="5"/>
      <c r="L195" s="5"/>
      <c r="M195" s="5"/>
      <c r="N195" s="6" t="s">
        <v>25</v>
      </c>
    </row>
    <row r="196" ht="15.75" customHeight="1">
      <c r="A196" s="2" t="s">
        <v>5</v>
      </c>
      <c r="B196" s="13">
        <v>0.079</v>
      </c>
      <c r="C196" s="11">
        <v>0.037</v>
      </c>
      <c r="D196" s="12">
        <v>0.02</v>
      </c>
      <c r="E196" s="5"/>
      <c r="F196" s="5"/>
      <c r="G196" s="5"/>
      <c r="H196" s="5"/>
      <c r="I196" s="5"/>
      <c r="J196" s="5"/>
      <c r="K196" s="5"/>
      <c r="L196" s="5"/>
      <c r="M196" s="5"/>
      <c r="N196" s="6" t="s">
        <v>25</v>
      </c>
    </row>
    <row r="197" ht="15.75" customHeight="1">
      <c r="A197" s="2" t="s">
        <v>6</v>
      </c>
      <c r="B197" s="9">
        <v>0.018</v>
      </c>
      <c r="C197" s="12">
        <v>0.02</v>
      </c>
      <c r="D197" s="12">
        <v>0.025</v>
      </c>
      <c r="E197" s="5"/>
      <c r="F197" s="5"/>
      <c r="G197" s="5"/>
      <c r="H197" s="5"/>
      <c r="I197" s="5"/>
      <c r="J197" s="5"/>
      <c r="K197" s="5"/>
      <c r="L197" s="5"/>
      <c r="M197" s="5"/>
      <c r="N197" s="6" t="s">
        <v>25</v>
      </c>
    </row>
    <row r="198" ht="15.75" customHeight="1">
      <c r="A198" s="2" t="s">
        <v>7</v>
      </c>
      <c r="B198" s="14">
        <v>0.057</v>
      </c>
      <c r="C198" s="8">
        <v>0.029</v>
      </c>
      <c r="D198" s="12">
        <v>0.025</v>
      </c>
      <c r="E198" s="5"/>
      <c r="F198" s="5"/>
      <c r="G198" s="5"/>
      <c r="H198" s="5"/>
      <c r="I198" s="5"/>
      <c r="J198" s="5"/>
      <c r="K198" s="5"/>
      <c r="L198" s="5"/>
      <c r="M198" s="5"/>
      <c r="N198" s="6" t="s">
        <v>25</v>
      </c>
    </row>
    <row r="199" ht="15.75" customHeight="1">
      <c r="A199" s="2" t="s">
        <v>8</v>
      </c>
      <c r="B199" s="9">
        <v>0.018</v>
      </c>
      <c r="C199" s="9">
        <v>0.018</v>
      </c>
      <c r="D199" s="12">
        <v>0.023</v>
      </c>
      <c r="E199" s="5"/>
      <c r="F199" s="5"/>
      <c r="G199" s="5"/>
      <c r="H199" s="5"/>
      <c r="I199" s="5"/>
      <c r="J199" s="5"/>
      <c r="K199" s="5"/>
      <c r="L199" s="5"/>
      <c r="M199" s="5"/>
      <c r="N199" s="6" t="s">
        <v>25</v>
      </c>
    </row>
    <row r="200" ht="15.75" customHeight="1"/>
    <row r="201" ht="15.75" customHeight="1">
      <c r="A201" s="1"/>
      <c r="B201" s="2">
        <v>1.0</v>
      </c>
      <c r="C201" s="2">
        <v>2.0</v>
      </c>
      <c r="D201" s="2">
        <v>3.0</v>
      </c>
      <c r="E201" s="2">
        <v>4.0</v>
      </c>
      <c r="F201" s="2">
        <v>5.0</v>
      </c>
      <c r="G201" s="2">
        <v>6.0</v>
      </c>
      <c r="H201" s="2">
        <v>7.0</v>
      </c>
      <c r="I201" s="2">
        <v>8.0</v>
      </c>
      <c r="J201" s="2">
        <v>9.0</v>
      </c>
      <c r="K201" s="2">
        <v>10.0</v>
      </c>
      <c r="L201" s="2">
        <v>11.0</v>
      </c>
      <c r="M201" s="2">
        <v>12.0</v>
      </c>
    </row>
    <row r="202" ht="15.75" customHeight="1">
      <c r="A202" s="2" t="s">
        <v>0</v>
      </c>
      <c r="B202" s="3">
        <v>-0.001</v>
      </c>
      <c r="C202" s="3">
        <v>0.001</v>
      </c>
      <c r="D202" s="3">
        <v>0.0</v>
      </c>
      <c r="E202" s="15">
        <v>0.061</v>
      </c>
      <c r="F202" s="14">
        <v>0.067</v>
      </c>
      <c r="G202" s="8">
        <v>0.04</v>
      </c>
      <c r="H202" s="5"/>
      <c r="I202" s="5"/>
      <c r="J202" s="5"/>
      <c r="K202" s="5"/>
      <c r="L202" s="5"/>
      <c r="M202" s="5"/>
      <c r="N202" s="6" t="s">
        <v>26</v>
      </c>
    </row>
    <row r="203" ht="15.75" customHeight="1">
      <c r="A203" s="2" t="s">
        <v>2</v>
      </c>
      <c r="B203" s="13">
        <v>0.097</v>
      </c>
      <c r="C203" s="15">
        <v>0.057</v>
      </c>
      <c r="D203" s="16">
        <v>0.083</v>
      </c>
      <c r="E203" s="15">
        <v>0.061</v>
      </c>
      <c r="F203" s="16">
        <v>0.086</v>
      </c>
      <c r="G203" s="16">
        <v>0.087</v>
      </c>
      <c r="H203" s="5"/>
      <c r="I203" s="5"/>
      <c r="J203" s="5"/>
      <c r="K203" s="5"/>
      <c r="L203" s="5"/>
      <c r="M203" s="5"/>
      <c r="N203" s="6" t="s">
        <v>26</v>
      </c>
    </row>
    <row r="204" ht="15.75" customHeight="1">
      <c r="A204" s="2" t="s">
        <v>3</v>
      </c>
      <c r="B204" s="18">
        <v>0.114</v>
      </c>
      <c r="C204" s="19">
        <v>0.077</v>
      </c>
      <c r="D204" s="19">
        <v>0.074</v>
      </c>
      <c r="E204" s="10">
        <v>0.131</v>
      </c>
      <c r="F204" s="16">
        <v>0.09</v>
      </c>
      <c r="G204" s="19">
        <v>0.081</v>
      </c>
      <c r="H204" s="5"/>
      <c r="I204" s="5"/>
      <c r="J204" s="5"/>
      <c r="K204" s="5"/>
      <c r="L204" s="5"/>
      <c r="M204" s="5"/>
      <c r="N204" s="6" t="s">
        <v>26</v>
      </c>
    </row>
    <row r="205" ht="15.75" customHeight="1">
      <c r="A205" s="2" t="s">
        <v>4</v>
      </c>
      <c r="B205" s="15">
        <v>0.061</v>
      </c>
      <c r="C205" s="13">
        <v>0.099</v>
      </c>
      <c r="D205" s="14">
        <v>0.071</v>
      </c>
      <c r="E205" s="5"/>
      <c r="F205" s="5"/>
      <c r="G205" s="5"/>
      <c r="H205" s="5"/>
      <c r="I205" s="5"/>
      <c r="J205" s="5"/>
      <c r="K205" s="5"/>
      <c r="L205" s="5"/>
      <c r="M205" s="5"/>
      <c r="N205" s="6" t="s">
        <v>26</v>
      </c>
    </row>
    <row r="206" ht="15.75" customHeight="1">
      <c r="A206" s="2" t="s">
        <v>5</v>
      </c>
      <c r="B206" s="17">
        <v>0.108</v>
      </c>
      <c r="C206" s="15">
        <v>0.056</v>
      </c>
      <c r="D206" s="11">
        <v>0.046</v>
      </c>
      <c r="E206" s="5"/>
      <c r="F206" s="5"/>
      <c r="G206" s="5"/>
      <c r="H206" s="5"/>
      <c r="I206" s="5"/>
      <c r="J206" s="5"/>
      <c r="K206" s="5"/>
      <c r="L206" s="5"/>
      <c r="M206" s="5"/>
      <c r="N206" s="6" t="s">
        <v>26</v>
      </c>
    </row>
    <row r="207" ht="15.75" customHeight="1">
      <c r="A207" s="2" t="s">
        <v>6</v>
      </c>
      <c r="B207" s="11">
        <v>0.046</v>
      </c>
      <c r="C207" s="15">
        <v>0.057</v>
      </c>
      <c r="D207" s="15">
        <v>0.056</v>
      </c>
      <c r="E207" s="5"/>
      <c r="F207" s="5"/>
      <c r="G207" s="5"/>
      <c r="H207" s="5"/>
      <c r="I207" s="5"/>
      <c r="J207" s="5"/>
      <c r="K207" s="5"/>
      <c r="L207" s="5"/>
      <c r="M207" s="5"/>
      <c r="N207" s="6" t="s">
        <v>26</v>
      </c>
    </row>
    <row r="208" ht="15.75" customHeight="1">
      <c r="A208" s="2" t="s">
        <v>7</v>
      </c>
      <c r="B208" s="18">
        <v>0.113</v>
      </c>
      <c r="C208" s="19">
        <v>0.08</v>
      </c>
      <c r="D208" s="15">
        <v>0.063</v>
      </c>
      <c r="E208" s="5"/>
      <c r="F208" s="5"/>
      <c r="G208" s="5"/>
      <c r="H208" s="5"/>
      <c r="I208" s="5"/>
      <c r="J208" s="5"/>
      <c r="K208" s="5"/>
      <c r="L208" s="5"/>
      <c r="M208" s="5"/>
      <c r="N208" s="6" t="s">
        <v>26</v>
      </c>
    </row>
    <row r="209" ht="15.75" customHeight="1">
      <c r="A209" s="2" t="s">
        <v>8</v>
      </c>
      <c r="B209" s="11">
        <v>0.045</v>
      </c>
      <c r="C209" s="11">
        <v>0.047</v>
      </c>
      <c r="D209" s="15">
        <v>0.056</v>
      </c>
      <c r="E209" s="5"/>
      <c r="F209" s="5"/>
      <c r="G209" s="5"/>
      <c r="H209" s="5"/>
      <c r="I209" s="5"/>
      <c r="J209" s="5"/>
      <c r="K209" s="5"/>
      <c r="L209" s="5"/>
      <c r="M209" s="5"/>
      <c r="N209" s="6" t="s">
        <v>26</v>
      </c>
    </row>
    <row r="210" ht="15.75" customHeight="1"/>
    <row r="211" ht="15.75" customHeight="1">
      <c r="A211" s="1"/>
      <c r="B211" s="2">
        <v>1.0</v>
      </c>
      <c r="C211" s="2">
        <v>2.0</v>
      </c>
      <c r="D211" s="2">
        <v>3.0</v>
      </c>
      <c r="E211" s="2">
        <v>4.0</v>
      </c>
      <c r="F211" s="2">
        <v>5.0</v>
      </c>
      <c r="G211" s="2">
        <v>6.0</v>
      </c>
      <c r="H211" s="2">
        <v>7.0</v>
      </c>
      <c r="I211" s="2">
        <v>8.0</v>
      </c>
      <c r="J211" s="2">
        <v>9.0</v>
      </c>
      <c r="K211" s="2">
        <v>10.0</v>
      </c>
      <c r="L211" s="2">
        <v>11.0</v>
      </c>
      <c r="M211" s="2">
        <v>12.0</v>
      </c>
    </row>
    <row r="212" ht="15.75" customHeight="1">
      <c r="A212" s="2" t="s">
        <v>0</v>
      </c>
      <c r="B212" s="3">
        <v>-0.002</v>
      </c>
      <c r="C212" s="3">
        <v>0.001</v>
      </c>
      <c r="D212" s="3">
        <v>0.001</v>
      </c>
      <c r="E212" s="4">
        <v>0.003</v>
      </c>
      <c r="F212" s="4">
        <v>0.003</v>
      </c>
      <c r="G212" s="3">
        <v>0.0</v>
      </c>
      <c r="H212" s="5"/>
      <c r="I212" s="5"/>
      <c r="J212" s="5"/>
      <c r="K212" s="5"/>
      <c r="L212" s="5"/>
      <c r="M212" s="5"/>
      <c r="N212" s="6" t="s">
        <v>27</v>
      </c>
    </row>
    <row r="213" ht="15.75" customHeight="1">
      <c r="A213" s="2" t="s">
        <v>2</v>
      </c>
      <c r="B213" s="9">
        <v>0.009</v>
      </c>
      <c r="C213" s="4">
        <v>0.008</v>
      </c>
      <c r="D213" s="4">
        <v>0.007</v>
      </c>
      <c r="E213" s="4">
        <v>0.004</v>
      </c>
      <c r="F213" s="4">
        <v>0.005</v>
      </c>
      <c r="G213" s="9">
        <v>0.015</v>
      </c>
      <c r="H213" s="5"/>
      <c r="I213" s="5"/>
      <c r="J213" s="5"/>
      <c r="K213" s="5"/>
      <c r="L213" s="5"/>
      <c r="M213" s="5"/>
      <c r="N213" s="6" t="s">
        <v>27</v>
      </c>
    </row>
    <row r="214" ht="15.75" customHeight="1">
      <c r="A214" s="2" t="s">
        <v>3</v>
      </c>
      <c r="B214" s="9">
        <v>0.01</v>
      </c>
      <c r="C214" s="9">
        <v>0.011</v>
      </c>
      <c r="D214" s="4">
        <v>0.005</v>
      </c>
      <c r="E214" s="16">
        <v>0.07</v>
      </c>
      <c r="F214" s="4">
        <v>0.006</v>
      </c>
      <c r="G214" s="4">
        <v>0.005</v>
      </c>
      <c r="H214" s="5"/>
      <c r="I214" s="5"/>
      <c r="J214" s="5"/>
      <c r="K214" s="5"/>
      <c r="L214" s="5"/>
      <c r="M214" s="5"/>
      <c r="N214" s="6" t="s">
        <v>27</v>
      </c>
    </row>
    <row r="215" ht="15.75" customHeight="1">
      <c r="A215" s="2" t="s">
        <v>4</v>
      </c>
      <c r="B215" s="4">
        <v>0.002</v>
      </c>
      <c r="C215" s="4">
        <v>0.003</v>
      </c>
      <c r="D215" s="4">
        <v>0.003</v>
      </c>
      <c r="E215" s="5"/>
      <c r="F215" s="5"/>
      <c r="G215" s="5"/>
      <c r="H215" s="5"/>
      <c r="I215" s="5"/>
      <c r="J215" s="5"/>
      <c r="K215" s="5"/>
      <c r="L215" s="5"/>
      <c r="M215" s="5"/>
      <c r="N215" s="6" t="s">
        <v>27</v>
      </c>
    </row>
    <row r="216" ht="15.75" customHeight="1">
      <c r="A216" s="2" t="s">
        <v>5</v>
      </c>
      <c r="B216" s="19">
        <v>0.059</v>
      </c>
      <c r="C216" s="12">
        <v>0.022</v>
      </c>
      <c r="D216" s="4">
        <v>0.003</v>
      </c>
      <c r="E216" s="5"/>
      <c r="F216" s="5"/>
      <c r="G216" s="5"/>
      <c r="H216" s="5"/>
      <c r="I216" s="5"/>
      <c r="J216" s="5"/>
      <c r="K216" s="5"/>
      <c r="L216" s="5"/>
      <c r="M216" s="5"/>
      <c r="N216" s="6" t="s">
        <v>27</v>
      </c>
    </row>
    <row r="217" ht="15.75" customHeight="1">
      <c r="A217" s="2" t="s">
        <v>6</v>
      </c>
      <c r="B217" s="4">
        <v>0.006</v>
      </c>
      <c r="C217" s="4">
        <v>0.003</v>
      </c>
      <c r="D217" s="4">
        <v>0.006</v>
      </c>
      <c r="E217" s="5"/>
      <c r="F217" s="5"/>
      <c r="G217" s="5"/>
      <c r="H217" s="5"/>
      <c r="I217" s="5"/>
      <c r="J217" s="5"/>
      <c r="K217" s="5"/>
      <c r="L217" s="5"/>
      <c r="M217" s="5"/>
      <c r="N217" s="6" t="s">
        <v>27</v>
      </c>
    </row>
    <row r="218" ht="15.75" customHeight="1">
      <c r="A218" s="2" t="s">
        <v>7</v>
      </c>
      <c r="B218" s="8">
        <v>0.028</v>
      </c>
      <c r="C218" s="4">
        <v>0.004</v>
      </c>
      <c r="D218" s="4">
        <v>0.002</v>
      </c>
      <c r="E218" s="5"/>
      <c r="F218" s="5"/>
      <c r="G218" s="5"/>
      <c r="H218" s="5"/>
      <c r="I218" s="5"/>
      <c r="J218" s="5"/>
      <c r="K218" s="5"/>
      <c r="L218" s="5"/>
      <c r="M218" s="5"/>
      <c r="N218" s="6" t="s">
        <v>27</v>
      </c>
    </row>
    <row r="219" ht="15.75" customHeight="1">
      <c r="A219" s="2" t="s">
        <v>8</v>
      </c>
      <c r="B219" s="4">
        <v>0.003</v>
      </c>
      <c r="C219" s="3">
        <v>0.001</v>
      </c>
      <c r="D219" s="4">
        <v>0.005</v>
      </c>
      <c r="E219" s="5"/>
      <c r="F219" s="5"/>
      <c r="G219" s="5"/>
      <c r="H219" s="5"/>
      <c r="I219" s="5"/>
      <c r="J219" s="5"/>
      <c r="K219" s="5"/>
      <c r="L219" s="5"/>
      <c r="M219" s="5"/>
      <c r="N219" s="6" t="s">
        <v>27</v>
      </c>
    </row>
    <row r="220" ht="15.75" customHeight="1"/>
    <row r="221" ht="15.75" customHeight="1">
      <c r="A221" s="1"/>
      <c r="B221" s="2">
        <v>1.0</v>
      </c>
      <c r="C221" s="2">
        <v>2.0</v>
      </c>
      <c r="D221" s="2">
        <v>3.0</v>
      </c>
      <c r="E221" s="2">
        <v>4.0</v>
      </c>
      <c r="F221" s="2">
        <v>5.0</v>
      </c>
      <c r="G221" s="2">
        <v>6.0</v>
      </c>
      <c r="H221" s="2">
        <v>7.0</v>
      </c>
      <c r="I221" s="2">
        <v>8.0</v>
      </c>
      <c r="J221" s="2">
        <v>9.0</v>
      </c>
      <c r="K221" s="2">
        <v>10.0</v>
      </c>
      <c r="L221" s="2">
        <v>11.0</v>
      </c>
      <c r="M221" s="2">
        <v>12.0</v>
      </c>
    </row>
    <row r="222" ht="15.75" customHeight="1">
      <c r="A222" s="2" t="s">
        <v>0</v>
      </c>
      <c r="B222" s="20">
        <v>-0.315</v>
      </c>
      <c r="C222" s="20">
        <v>0.036</v>
      </c>
      <c r="D222" s="20">
        <v>1.26</v>
      </c>
      <c r="E222" s="20">
        <v>1.92</v>
      </c>
      <c r="F222" s="20">
        <v>1.326</v>
      </c>
      <c r="G222" s="20">
        <v>0.938</v>
      </c>
      <c r="H222" s="20"/>
      <c r="I222" s="20"/>
      <c r="J222" s="20"/>
      <c r="K222" s="20"/>
      <c r="L222" s="20"/>
      <c r="M222" s="20"/>
      <c r="N222" s="6" t="s">
        <v>28</v>
      </c>
    </row>
    <row r="223" ht="15.75" customHeight="1">
      <c r="A223" s="2" t="s">
        <v>2</v>
      </c>
      <c r="B223" s="20">
        <v>0.855</v>
      </c>
      <c r="C223" s="20">
        <v>1.353</v>
      </c>
      <c r="D223" s="20">
        <v>1.005</v>
      </c>
      <c r="E223" s="20">
        <v>1.372</v>
      </c>
      <c r="F223" s="20">
        <v>2.112</v>
      </c>
      <c r="G223" s="20">
        <v>1.963</v>
      </c>
      <c r="H223" s="20"/>
      <c r="I223" s="20"/>
      <c r="J223" s="20"/>
      <c r="K223" s="20"/>
      <c r="L223" s="20"/>
      <c r="M223" s="20"/>
      <c r="N223" s="6" t="s">
        <v>28</v>
      </c>
    </row>
    <row r="224" ht="15.75" customHeight="1">
      <c r="A224" s="2" t="s">
        <v>3</v>
      </c>
      <c r="B224" s="20">
        <v>1.68</v>
      </c>
      <c r="C224" s="20">
        <v>1.092</v>
      </c>
      <c r="D224" s="20">
        <v>0.919</v>
      </c>
      <c r="E224" s="20">
        <v>-12.135</v>
      </c>
      <c r="F224" s="20">
        <v>2.295</v>
      </c>
      <c r="G224" s="20">
        <v>1.539</v>
      </c>
      <c r="H224" s="20"/>
      <c r="I224" s="20"/>
      <c r="J224" s="20"/>
      <c r="K224" s="20"/>
      <c r="L224" s="20"/>
      <c r="M224" s="20"/>
      <c r="N224" s="6" t="s">
        <v>28</v>
      </c>
    </row>
    <row r="225" ht="15.75" customHeight="1">
      <c r="A225" s="2" t="s">
        <v>4</v>
      </c>
      <c r="B225" s="20">
        <v>1.037</v>
      </c>
      <c r="C225" s="20">
        <v>1.638</v>
      </c>
      <c r="D225" s="20">
        <v>1.06</v>
      </c>
      <c r="E225" s="20"/>
      <c r="F225" s="20"/>
      <c r="G225" s="20"/>
      <c r="H225" s="20"/>
      <c r="I225" s="20"/>
      <c r="J225" s="20"/>
      <c r="K225" s="20"/>
      <c r="L225" s="20"/>
      <c r="M225" s="20"/>
      <c r="N225" s="6" t="s">
        <v>28</v>
      </c>
    </row>
    <row r="226" ht="15.75" customHeight="1">
      <c r="A226" s="2" t="s">
        <v>5</v>
      </c>
      <c r="B226" s="20">
        <v>5.544</v>
      </c>
      <c r="C226" s="20">
        <v>1.12</v>
      </c>
      <c r="D226" s="20">
        <v>1.902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6" t="s">
        <v>28</v>
      </c>
    </row>
    <row r="227" ht="15.75" customHeight="1">
      <c r="A227" s="2" t="s">
        <v>6</v>
      </c>
      <c r="B227" s="20">
        <v>0.751</v>
      </c>
      <c r="C227" s="20">
        <v>1.157</v>
      </c>
      <c r="D227" s="20">
        <v>0.948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6" t="s">
        <v>28</v>
      </c>
    </row>
    <row r="228" ht="15.75" customHeight="1">
      <c r="A228" s="2" t="s">
        <v>7</v>
      </c>
      <c r="B228" s="20">
        <v>2.219</v>
      </c>
      <c r="C228" s="20">
        <v>1.525</v>
      </c>
      <c r="D228" s="20">
        <v>0.792</v>
      </c>
      <c r="E228" s="20"/>
      <c r="F228" s="20"/>
      <c r="G228" s="20"/>
      <c r="H228" s="20"/>
      <c r="I228" s="20"/>
      <c r="J228" s="20"/>
      <c r="K228" s="20"/>
      <c r="L228" s="20"/>
      <c r="M228" s="20"/>
      <c r="N228" s="6" t="s">
        <v>28</v>
      </c>
    </row>
    <row r="229" ht="15.75" customHeight="1">
      <c r="A229" s="2" t="s">
        <v>8</v>
      </c>
      <c r="B229" s="20">
        <v>0.664</v>
      </c>
      <c r="C229" s="20">
        <v>1.544</v>
      </c>
      <c r="D229" s="20">
        <v>1.853</v>
      </c>
      <c r="E229" s="20"/>
      <c r="F229" s="20"/>
      <c r="G229" s="20"/>
      <c r="H229" s="20"/>
      <c r="I229" s="20"/>
      <c r="J229" s="20"/>
      <c r="K229" s="20"/>
      <c r="L229" s="20"/>
      <c r="M229" s="20"/>
      <c r="N229" s="6" t="s">
        <v>28</v>
      </c>
    </row>
    <row r="230" ht="15.75" customHeight="1"/>
    <row r="231" ht="15.75" customHeight="1">
      <c r="A231" s="1"/>
      <c r="B231" s="2">
        <v>1.0</v>
      </c>
      <c r="C231" s="2">
        <v>2.0</v>
      </c>
      <c r="D231" s="2">
        <v>3.0</v>
      </c>
      <c r="E231" s="2">
        <v>4.0</v>
      </c>
      <c r="F231" s="2">
        <v>5.0</v>
      </c>
      <c r="G231" s="2">
        <v>6.0</v>
      </c>
      <c r="H231" s="2">
        <v>7.0</v>
      </c>
      <c r="I231" s="2">
        <v>8.0</v>
      </c>
      <c r="J231" s="2">
        <v>9.0</v>
      </c>
      <c r="K231" s="2">
        <v>10.0</v>
      </c>
      <c r="L231" s="2">
        <v>11.0</v>
      </c>
      <c r="M231" s="2">
        <v>12.0</v>
      </c>
    </row>
    <row r="232" ht="15.75" customHeight="1">
      <c r="A232" s="2" t="s">
        <v>0</v>
      </c>
      <c r="B232" s="20">
        <v>-0.247</v>
      </c>
      <c r="C232" s="20">
        <v>0.046</v>
      </c>
      <c r="D232" s="20">
        <v>0.36</v>
      </c>
      <c r="E232" s="20">
        <v>1.572</v>
      </c>
      <c r="F232" s="20">
        <v>1.08</v>
      </c>
      <c r="G232" s="20">
        <v>0.696</v>
      </c>
      <c r="H232" s="20"/>
      <c r="I232" s="20"/>
      <c r="J232" s="20"/>
      <c r="K232" s="20"/>
      <c r="L232" s="20"/>
      <c r="M232" s="20"/>
      <c r="N232" s="6" t="s">
        <v>29</v>
      </c>
    </row>
    <row r="233" ht="15.75" customHeight="1">
      <c r="A233" s="2" t="s">
        <v>2</v>
      </c>
      <c r="B233" s="20">
        <v>0.74</v>
      </c>
      <c r="C233" s="20">
        <v>1.116</v>
      </c>
      <c r="D233" s="20">
        <v>0.914</v>
      </c>
      <c r="E233" s="20">
        <v>0.99</v>
      </c>
      <c r="F233" s="20">
        <v>2.077</v>
      </c>
      <c r="G233" s="20">
        <v>1.997</v>
      </c>
      <c r="H233" s="20"/>
      <c r="I233" s="20"/>
      <c r="J233" s="20"/>
      <c r="K233" s="20"/>
      <c r="L233" s="20"/>
      <c r="M233" s="20"/>
      <c r="N233" s="6" t="s">
        <v>29</v>
      </c>
    </row>
    <row r="234" ht="15.75" customHeight="1">
      <c r="A234" s="2" t="s">
        <v>3</v>
      </c>
      <c r="B234" s="20">
        <v>1.581</v>
      </c>
      <c r="C234" s="20">
        <v>1.016</v>
      </c>
      <c r="D234" s="20">
        <v>0.884</v>
      </c>
      <c r="E234" s="20">
        <v>-12.255</v>
      </c>
      <c r="F234" s="20">
        <v>2.186</v>
      </c>
      <c r="G234" s="20">
        <v>1.388</v>
      </c>
      <c r="H234" s="20"/>
      <c r="I234" s="20"/>
      <c r="J234" s="20"/>
      <c r="K234" s="20"/>
      <c r="L234" s="20"/>
      <c r="M234" s="20"/>
      <c r="N234" s="6" t="s">
        <v>29</v>
      </c>
    </row>
    <row r="235" ht="15.75" customHeight="1">
      <c r="A235" s="2" t="s">
        <v>4</v>
      </c>
      <c r="B235" s="20">
        <v>0.93</v>
      </c>
      <c r="C235" s="20">
        <v>1.519</v>
      </c>
      <c r="D235" s="20">
        <v>0.97</v>
      </c>
      <c r="E235" s="20"/>
      <c r="F235" s="20"/>
      <c r="G235" s="20"/>
      <c r="H235" s="20"/>
      <c r="I235" s="20"/>
      <c r="J235" s="20"/>
      <c r="K235" s="20"/>
      <c r="L235" s="20"/>
      <c r="M235" s="20"/>
      <c r="N235" s="6" t="s">
        <v>29</v>
      </c>
    </row>
    <row r="236" ht="15.75" customHeight="1">
      <c r="A236" s="2" t="s">
        <v>5</v>
      </c>
      <c r="B236" s="20">
        <v>4.968</v>
      </c>
      <c r="C236" s="20">
        <v>0.927</v>
      </c>
      <c r="D236" s="20">
        <v>1.573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6" t="s">
        <v>29</v>
      </c>
    </row>
    <row r="237" ht="15.75" customHeight="1">
      <c r="A237" s="2" t="s">
        <v>6</v>
      </c>
      <c r="B237" s="20">
        <v>0.705</v>
      </c>
      <c r="C237" s="20">
        <v>1.059</v>
      </c>
      <c r="D237" s="20">
        <v>0.944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6" t="s">
        <v>29</v>
      </c>
    </row>
    <row r="238" ht="15.75" customHeight="1">
      <c r="A238" s="2" t="s">
        <v>7</v>
      </c>
      <c r="B238" s="20">
        <v>1.943</v>
      </c>
      <c r="C238" s="20">
        <v>1.332</v>
      </c>
      <c r="D238" s="20">
        <v>0.698</v>
      </c>
      <c r="E238" s="20"/>
      <c r="F238" s="20"/>
      <c r="G238" s="20"/>
      <c r="H238" s="20"/>
      <c r="I238" s="20"/>
      <c r="J238" s="20"/>
      <c r="K238" s="20"/>
      <c r="L238" s="20"/>
      <c r="M238" s="20"/>
      <c r="N238" s="6" t="s">
        <v>29</v>
      </c>
    </row>
    <row r="239" ht="15.75" customHeight="1">
      <c r="A239" s="2" t="s">
        <v>8</v>
      </c>
      <c r="B239" s="20">
        <v>0.552</v>
      </c>
      <c r="C239" s="20">
        <v>1.212</v>
      </c>
      <c r="D239" s="20">
        <v>1.54</v>
      </c>
      <c r="E239" s="20"/>
      <c r="F239" s="20"/>
      <c r="G239" s="20"/>
      <c r="H239" s="20"/>
      <c r="I239" s="20"/>
      <c r="J239" s="20"/>
      <c r="K239" s="20"/>
      <c r="L239" s="20"/>
      <c r="M239" s="20"/>
      <c r="N239" s="6" t="s">
        <v>29</v>
      </c>
    </row>
    <row r="240" ht="15.75" customHeight="1"/>
    <row r="241" ht="15.75" customHeight="1">
      <c r="A241" s="1"/>
      <c r="B241" s="2">
        <v>1.0</v>
      </c>
      <c r="C241" s="2">
        <v>2.0</v>
      </c>
      <c r="D241" s="2">
        <v>3.0</v>
      </c>
      <c r="E241" s="2">
        <v>4.0</v>
      </c>
      <c r="F241" s="2">
        <v>5.0</v>
      </c>
      <c r="G241" s="2">
        <v>6.0</v>
      </c>
      <c r="H241" s="2">
        <v>7.0</v>
      </c>
      <c r="I241" s="2">
        <v>8.0</v>
      </c>
      <c r="J241" s="2">
        <v>9.0</v>
      </c>
      <c r="K241" s="2">
        <v>10.0</v>
      </c>
      <c r="L241" s="2">
        <v>11.0</v>
      </c>
      <c r="M241" s="2">
        <v>12.0</v>
      </c>
    </row>
    <row r="242" ht="15.75" customHeight="1">
      <c r="A242" s="2" t="s">
        <v>0</v>
      </c>
      <c r="B242" s="20">
        <v>-0.225</v>
      </c>
      <c r="C242" s="20">
        <v>0.051</v>
      </c>
      <c r="D242" s="20">
        <v>0.0</v>
      </c>
      <c r="E242" s="20">
        <v>3.69</v>
      </c>
      <c r="F242" s="20">
        <v>2.502</v>
      </c>
      <c r="G242" s="20">
        <v>1.923</v>
      </c>
      <c r="H242" s="20"/>
      <c r="I242" s="20"/>
      <c r="J242" s="20"/>
      <c r="K242" s="20"/>
      <c r="L242" s="20"/>
      <c r="M242" s="20"/>
      <c r="N242" s="6" t="s">
        <v>30</v>
      </c>
    </row>
    <row r="243" ht="15.75" customHeight="1">
      <c r="A243" s="2" t="s">
        <v>2</v>
      </c>
      <c r="B243" s="20">
        <v>1.824</v>
      </c>
      <c r="C243" s="20">
        <v>2.767</v>
      </c>
      <c r="D243" s="20">
        <v>2.29</v>
      </c>
      <c r="E243" s="20">
        <v>2.767</v>
      </c>
      <c r="F243" s="20">
        <v>6.037</v>
      </c>
      <c r="G243" s="20">
        <v>4.748</v>
      </c>
      <c r="H243" s="20"/>
      <c r="I243" s="20"/>
      <c r="J243" s="20"/>
      <c r="K243" s="20"/>
      <c r="L243" s="20"/>
      <c r="M243" s="20"/>
      <c r="N243" s="6" t="s">
        <v>30</v>
      </c>
    </row>
    <row r="244" ht="15.75" customHeight="1">
      <c r="A244" s="2" t="s">
        <v>3</v>
      </c>
      <c r="B244" s="20">
        <v>4.122</v>
      </c>
      <c r="C244" s="20">
        <v>2.334</v>
      </c>
      <c r="D244" s="20">
        <v>2.462</v>
      </c>
      <c r="E244" s="20">
        <v>-19.395</v>
      </c>
      <c r="F244" s="20">
        <v>6.075</v>
      </c>
      <c r="G244" s="20">
        <v>3.908</v>
      </c>
      <c r="H244" s="20"/>
      <c r="I244" s="20"/>
      <c r="J244" s="20"/>
      <c r="K244" s="20"/>
      <c r="L244" s="20"/>
      <c r="M244" s="20"/>
      <c r="N244" s="6" t="s">
        <v>30</v>
      </c>
    </row>
    <row r="245" ht="15.75" customHeight="1">
      <c r="A245" s="2" t="s">
        <v>4</v>
      </c>
      <c r="B245" s="20">
        <v>2.653</v>
      </c>
      <c r="C245" s="20">
        <v>4.381</v>
      </c>
      <c r="D245" s="20">
        <v>2.751</v>
      </c>
      <c r="E245" s="20"/>
      <c r="F245" s="20"/>
      <c r="G245" s="20"/>
      <c r="H245" s="20"/>
      <c r="I245" s="20"/>
      <c r="J245" s="20"/>
      <c r="K245" s="20"/>
      <c r="L245" s="20"/>
      <c r="M245" s="20"/>
      <c r="N245" s="6" t="s">
        <v>30</v>
      </c>
    </row>
    <row r="246" ht="15.75" customHeight="1">
      <c r="A246" s="2" t="s">
        <v>5</v>
      </c>
      <c r="B246" s="20">
        <v>7.106</v>
      </c>
      <c r="C246" s="20">
        <v>1.323</v>
      </c>
      <c r="D246" s="20">
        <v>3.623</v>
      </c>
      <c r="E246" s="20"/>
      <c r="F246" s="20"/>
      <c r="G246" s="20"/>
      <c r="H246" s="20"/>
      <c r="I246" s="20"/>
      <c r="J246" s="20"/>
      <c r="K246" s="20"/>
      <c r="L246" s="20"/>
      <c r="M246" s="20"/>
      <c r="N246" s="6" t="s">
        <v>30</v>
      </c>
    </row>
    <row r="247" ht="15.75" customHeight="1">
      <c r="A247" s="2" t="s">
        <v>6</v>
      </c>
      <c r="B247" s="20">
        <v>1.781</v>
      </c>
      <c r="C247" s="20">
        <v>3.039</v>
      </c>
      <c r="D247" s="20">
        <v>2.087</v>
      </c>
      <c r="E247" s="20"/>
      <c r="F247" s="20"/>
      <c r="G247" s="20"/>
      <c r="H247" s="20"/>
      <c r="I247" s="20"/>
      <c r="J247" s="20"/>
      <c r="K247" s="20"/>
      <c r="L247" s="20"/>
      <c r="M247" s="20"/>
      <c r="N247" s="6" t="s">
        <v>30</v>
      </c>
    </row>
    <row r="248" ht="15.75" customHeight="1">
      <c r="A248" s="2" t="s">
        <v>7</v>
      </c>
      <c r="B248" s="20">
        <v>3.591</v>
      </c>
      <c r="C248" s="20">
        <v>3.658</v>
      </c>
      <c r="D248" s="20">
        <v>1.745</v>
      </c>
      <c r="E248" s="20"/>
      <c r="F248" s="20"/>
      <c r="G248" s="20"/>
      <c r="H248" s="20"/>
      <c r="I248" s="20"/>
      <c r="J248" s="20"/>
      <c r="K248" s="20"/>
      <c r="L248" s="20"/>
      <c r="M248" s="20"/>
      <c r="N248" s="6" t="s">
        <v>30</v>
      </c>
    </row>
    <row r="249" ht="15.75" customHeight="1">
      <c r="A249" s="2" t="s">
        <v>8</v>
      </c>
      <c r="B249" s="20">
        <v>1.397</v>
      </c>
      <c r="C249" s="20">
        <v>3.24</v>
      </c>
      <c r="D249" s="20">
        <v>3.907</v>
      </c>
      <c r="E249" s="20"/>
      <c r="F249" s="20"/>
      <c r="G249" s="20"/>
      <c r="H249" s="20"/>
      <c r="I249" s="20"/>
      <c r="J249" s="20"/>
      <c r="K249" s="20"/>
      <c r="L249" s="20"/>
      <c r="M249" s="20"/>
      <c r="N249" s="6" t="s">
        <v>30</v>
      </c>
    </row>
    <row r="250" ht="15.75" customHeight="1"/>
    <row r="251" ht="15.75" customHeight="1">
      <c r="A251" s="1"/>
      <c r="B251" s="2">
        <v>1.0</v>
      </c>
      <c r="C251" s="2">
        <v>2.0</v>
      </c>
      <c r="D251" s="2">
        <v>3.0</v>
      </c>
      <c r="E251" s="2">
        <v>4.0</v>
      </c>
      <c r="F251" s="2">
        <v>5.0</v>
      </c>
      <c r="G251" s="2">
        <v>6.0</v>
      </c>
      <c r="H251" s="2">
        <v>7.0</v>
      </c>
      <c r="I251" s="2">
        <v>8.0</v>
      </c>
      <c r="J251" s="2">
        <v>9.0</v>
      </c>
      <c r="K251" s="2">
        <v>10.0</v>
      </c>
      <c r="L251" s="2">
        <v>11.0</v>
      </c>
      <c r="M251" s="2">
        <v>12.0</v>
      </c>
    </row>
    <row r="252" ht="15.75" customHeight="1">
      <c r="A252" s="2" t="s">
        <v>0</v>
      </c>
      <c r="B252" s="20">
        <v>-0.322</v>
      </c>
      <c r="C252" s="20">
        <v>0.019</v>
      </c>
      <c r="D252" s="20">
        <v>1.92</v>
      </c>
      <c r="E252" s="20">
        <v>0.214</v>
      </c>
      <c r="F252" s="20">
        <v>0.127</v>
      </c>
      <c r="G252" s="20">
        <v>-0.002</v>
      </c>
      <c r="H252" s="20"/>
      <c r="I252" s="20"/>
      <c r="J252" s="20"/>
      <c r="K252" s="20"/>
      <c r="L252" s="20"/>
      <c r="M252" s="20"/>
      <c r="N252" s="6" t="s">
        <v>31</v>
      </c>
    </row>
    <row r="253" ht="15.75" customHeight="1">
      <c r="A253" s="2" t="s">
        <v>2</v>
      </c>
      <c r="B253" s="20">
        <v>0.187</v>
      </c>
      <c r="C253" s="20">
        <v>0.276</v>
      </c>
      <c r="D253" s="20">
        <v>0.187</v>
      </c>
      <c r="E253" s="20">
        <v>0.215</v>
      </c>
      <c r="F253" s="20">
        <v>0.372</v>
      </c>
      <c r="G253" s="20">
        <v>0.78</v>
      </c>
      <c r="H253" s="20"/>
      <c r="I253" s="20"/>
      <c r="J253" s="20"/>
      <c r="K253" s="20"/>
      <c r="L253" s="20"/>
      <c r="M253" s="20"/>
      <c r="N253" s="6" t="s">
        <v>31</v>
      </c>
    </row>
    <row r="254" ht="15.75" customHeight="1">
      <c r="A254" s="2" t="s">
        <v>3</v>
      </c>
      <c r="B254" s="20">
        <v>0.362</v>
      </c>
      <c r="C254" s="20">
        <v>0.344</v>
      </c>
      <c r="D254" s="20">
        <v>0.179</v>
      </c>
      <c r="E254" s="20">
        <v>-9.4</v>
      </c>
      <c r="F254" s="20">
        <v>0.396</v>
      </c>
      <c r="G254" s="20">
        <v>0.264</v>
      </c>
      <c r="H254" s="20"/>
      <c r="I254" s="20"/>
      <c r="J254" s="20"/>
      <c r="K254" s="20"/>
      <c r="L254" s="20"/>
      <c r="M254" s="20"/>
      <c r="N254" s="6" t="s">
        <v>31</v>
      </c>
    </row>
    <row r="255" ht="15.75" customHeight="1">
      <c r="A255" s="2" t="s">
        <v>4</v>
      </c>
      <c r="B255" s="20">
        <v>0.076</v>
      </c>
      <c r="C255" s="20">
        <v>0.13</v>
      </c>
      <c r="D255" s="20">
        <v>0.085</v>
      </c>
      <c r="E255" s="20"/>
      <c r="F255" s="20"/>
      <c r="G255" s="20"/>
      <c r="H255" s="20"/>
      <c r="I255" s="20"/>
      <c r="J255" s="20"/>
      <c r="K255" s="20"/>
      <c r="L255" s="20"/>
      <c r="M255" s="20"/>
      <c r="N255" s="6" t="s">
        <v>31</v>
      </c>
    </row>
    <row r="256" ht="15.75" customHeight="1">
      <c r="A256" s="2" t="s">
        <v>5</v>
      </c>
      <c r="B256" s="20">
        <v>3.497</v>
      </c>
      <c r="C256" s="20">
        <v>0.596</v>
      </c>
      <c r="D256" s="20">
        <v>0.201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6" t="s">
        <v>31</v>
      </c>
    </row>
    <row r="257" ht="15.75" customHeight="1">
      <c r="A257" s="2" t="s">
        <v>6</v>
      </c>
      <c r="B257" s="20">
        <v>0.232</v>
      </c>
      <c r="C257" s="20">
        <v>0.158</v>
      </c>
      <c r="D257" s="20">
        <v>0.256</v>
      </c>
      <c r="E257" s="20"/>
      <c r="F257" s="20"/>
      <c r="G257" s="20"/>
      <c r="H257" s="20"/>
      <c r="I257" s="20"/>
      <c r="J257" s="20"/>
      <c r="K257" s="20"/>
      <c r="L257" s="20"/>
      <c r="M257" s="20"/>
      <c r="N257" s="6" t="s">
        <v>31</v>
      </c>
    </row>
    <row r="258" ht="15.75" customHeight="1">
      <c r="A258" s="2" t="s">
        <v>7</v>
      </c>
      <c r="B258" s="20">
        <v>0.992</v>
      </c>
      <c r="C258" s="20">
        <v>0.215</v>
      </c>
      <c r="D258" s="20">
        <v>0.054</v>
      </c>
      <c r="E258" s="20"/>
      <c r="F258" s="20"/>
      <c r="G258" s="20"/>
      <c r="H258" s="20"/>
      <c r="I258" s="20"/>
      <c r="J258" s="20"/>
      <c r="K258" s="20"/>
      <c r="L258" s="20"/>
      <c r="M258" s="20"/>
      <c r="N258" s="6" t="s">
        <v>31</v>
      </c>
    </row>
    <row r="259" ht="15.75" customHeight="1">
      <c r="A259" s="2" t="s">
        <v>8</v>
      </c>
      <c r="B259" s="20">
        <v>0.064</v>
      </c>
      <c r="C259" s="20">
        <v>0.039</v>
      </c>
      <c r="D259" s="20">
        <v>0.311</v>
      </c>
      <c r="E259" s="20"/>
      <c r="F259" s="20"/>
      <c r="G259" s="20"/>
      <c r="H259" s="20"/>
      <c r="I259" s="20"/>
      <c r="J259" s="20"/>
      <c r="K259" s="20"/>
      <c r="L259" s="20"/>
      <c r="M259" s="20"/>
      <c r="N259" s="6" t="s">
        <v>31</v>
      </c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"/>
      <c r="B1" s="1"/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</row>
    <row r="2">
      <c r="A2" s="22"/>
      <c r="B2" s="2" t="s">
        <v>0</v>
      </c>
      <c r="C2" s="3">
        <v>0.089</v>
      </c>
      <c r="D2" s="3">
        <v>0.091</v>
      </c>
      <c r="E2" s="3">
        <v>0.091</v>
      </c>
      <c r="F2" s="11">
        <v>0.122</v>
      </c>
      <c r="G2" s="11">
        <v>0.126</v>
      </c>
      <c r="H2" s="12">
        <v>0.11</v>
      </c>
      <c r="I2" s="5"/>
      <c r="J2" s="5"/>
      <c r="K2" s="5"/>
      <c r="L2" s="5"/>
      <c r="M2" s="5"/>
      <c r="N2" s="5"/>
      <c r="O2" s="6" t="s">
        <v>12</v>
      </c>
    </row>
    <row r="3">
      <c r="A3" s="22"/>
      <c r="B3" s="2" t="s">
        <v>2</v>
      </c>
      <c r="C3" s="15">
        <v>0.136</v>
      </c>
      <c r="D3" s="8">
        <v>0.117</v>
      </c>
      <c r="E3" s="11">
        <v>0.127</v>
      </c>
      <c r="F3" s="8">
        <v>0.121</v>
      </c>
      <c r="G3" s="8">
        <v>0.121</v>
      </c>
      <c r="H3" s="11">
        <v>0.125</v>
      </c>
      <c r="I3" s="5"/>
      <c r="J3" s="5"/>
      <c r="K3" s="5"/>
      <c r="L3" s="5"/>
      <c r="M3" s="5"/>
      <c r="N3" s="5"/>
      <c r="O3" s="6" t="s">
        <v>12</v>
      </c>
    </row>
    <row r="4">
      <c r="A4" s="22"/>
      <c r="B4" s="2" t="s">
        <v>3</v>
      </c>
      <c r="C4" s="14">
        <v>0.138</v>
      </c>
      <c r="D4" s="11">
        <v>0.126</v>
      </c>
      <c r="E4" s="8">
        <v>0.119</v>
      </c>
      <c r="F4" s="17">
        <v>0.171</v>
      </c>
      <c r="G4" s="11">
        <v>0.126</v>
      </c>
      <c r="H4" s="11">
        <v>0.123</v>
      </c>
      <c r="I4" s="5"/>
      <c r="J4" s="5"/>
      <c r="K4" s="5"/>
      <c r="L4" s="5"/>
      <c r="M4" s="5"/>
      <c r="N4" s="5"/>
      <c r="O4" s="6" t="s">
        <v>12</v>
      </c>
    </row>
    <row r="5">
      <c r="A5" s="22"/>
      <c r="B5" s="2" t="s">
        <v>4</v>
      </c>
      <c r="C5" s="12">
        <v>0.115</v>
      </c>
      <c r="D5" s="11">
        <v>0.128</v>
      </c>
      <c r="E5" s="8">
        <v>0.117</v>
      </c>
      <c r="F5" s="5"/>
      <c r="G5" s="5"/>
      <c r="H5" s="5"/>
      <c r="I5" s="5"/>
      <c r="J5" s="5"/>
      <c r="K5" s="5"/>
      <c r="L5" s="5"/>
      <c r="M5" s="5"/>
      <c r="N5" s="5"/>
      <c r="O5" s="6" t="s">
        <v>12</v>
      </c>
    </row>
    <row r="6">
      <c r="A6" s="22"/>
      <c r="B6" s="2" t="s">
        <v>5</v>
      </c>
      <c r="C6" s="17">
        <v>0.167</v>
      </c>
      <c r="D6" s="14">
        <v>0.144</v>
      </c>
      <c r="E6" s="8">
        <v>0.115</v>
      </c>
      <c r="F6" s="5"/>
      <c r="G6" s="5"/>
      <c r="H6" s="5"/>
      <c r="I6" s="5"/>
      <c r="J6" s="5"/>
      <c r="K6" s="5"/>
      <c r="L6" s="5"/>
      <c r="M6" s="5"/>
      <c r="N6" s="5"/>
      <c r="O6" s="6" t="s">
        <v>12</v>
      </c>
    </row>
    <row r="7">
      <c r="A7" s="22"/>
      <c r="B7" s="2" t="s">
        <v>6</v>
      </c>
      <c r="C7" s="12">
        <v>0.11</v>
      </c>
      <c r="D7" s="12">
        <v>0.113</v>
      </c>
      <c r="E7" s="8">
        <v>0.116</v>
      </c>
      <c r="F7" s="5"/>
      <c r="G7" s="5"/>
      <c r="H7" s="5"/>
      <c r="I7" s="5"/>
      <c r="J7" s="5"/>
      <c r="K7" s="5"/>
      <c r="L7" s="5"/>
      <c r="M7" s="5"/>
      <c r="N7" s="5"/>
      <c r="O7" s="6" t="s">
        <v>12</v>
      </c>
    </row>
    <row r="8">
      <c r="A8" s="22"/>
      <c r="B8" s="2" t="s">
        <v>7</v>
      </c>
      <c r="C8" s="13">
        <v>0.162</v>
      </c>
      <c r="D8" s="11">
        <v>0.124</v>
      </c>
      <c r="E8" s="8">
        <v>0.119</v>
      </c>
      <c r="F8" s="5"/>
      <c r="G8" s="5"/>
      <c r="H8" s="5"/>
      <c r="I8" s="5"/>
      <c r="J8" s="5"/>
      <c r="K8" s="5"/>
      <c r="L8" s="5"/>
      <c r="M8" s="5"/>
      <c r="N8" s="5"/>
      <c r="O8" s="6" t="s">
        <v>12</v>
      </c>
    </row>
    <row r="9">
      <c r="A9" s="22"/>
      <c r="B9" s="2" t="s">
        <v>8</v>
      </c>
      <c r="C9" s="12">
        <v>0.112</v>
      </c>
      <c r="D9" s="12">
        <v>0.113</v>
      </c>
      <c r="E9" s="8">
        <v>0.118</v>
      </c>
      <c r="F9" s="5"/>
      <c r="G9" s="5"/>
      <c r="H9" s="5"/>
      <c r="I9" s="5"/>
      <c r="J9" s="5"/>
      <c r="K9" s="5"/>
      <c r="L9" s="5"/>
      <c r="M9" s="5"/>
      <c r="N9" s="5"/>
      <c r="O9" s="6" t="s">
        <v>12</v>
      </c>
    </row>
    <row r="11">
      <c r="A11" s="21"/>
      <c r="B11" s="1"/>
      <c r="C11" s="2">
        <v>1.0</v>
      </c>
      <c r="D11" s="2">
        <v>2.0</v>
      </c>
      <c r="E11" s="2">
        <v>3.0</v>
      </c>
      <c r="F11" s="2">
        <v>4.0</v>
      </c>
      <c r="G11" s="2">
        <v>5.0</v>
      </c>
      <c r="H11" s="2">
        <v>6.0</v>
      </c>
      <c r="I11" s="2">
        <v>7.0</v>
      </c>
      <c r="J11" s="2">
        <v>8.0</v>
      </c>
      <c r="K11" s="2">
        <v>9.0</v>
      </c>
      <c r="L11" s="2">
        <v>10.0</v>
      </c>
      <c r="M11" s="2">
        <v>11.0</v>
      </c>
      <c r="N11" s="2">
        <v>12.0</v>
      </c>
    </row>
    <row r="12">
      <c r="A12" s="22"/>
      <c r="B12" s="2" t="s">
        <v>0</v>
      </c>
      <c r="C12" s="3">
        <v>0.087</v>
      </c>
      <c r="D12" s="3">
        <v>0.089</v>
      </c>
      <c r="E12" s="3">
        <v>0.088</v>
      </c>
      <c r="F12" s="8">
        <v>0.114</v>
      </c>
      <c r="G12" s="8">
        <v>0.117</v>
      </c>
      <c r="H12" s="9">
        <v>0.103</v>
      </c>
      <c r="I12" s="5"/>
      <c r="J12" s="5"/>
      <c r="K12" s="5"/>
      <c r="L12" s="5"/>
      <c r="M12" s="5"/>
      <c r="N12" s="5"/>
      <c r="O12" s="6" t="s">
        <v>14</v>
      </c>
    </row>
    <row r="13">
      <c r="A13" s="22"/>
      <c r="B13" s="2" t="s">
        <v>2</v>
      </c>
      <c r="C13" s="15">
        <v>0.128</v>
      </c>
      <c r="D13" s="12">
        <v>0.11</v>
      </c>
      <c r="E13" s="11">
        <v>0.121</v>
      </c>
      <c r="F13" s="12">
        <v>0.11</v>
      </c>
      <c r="G13" s="8">
        <v>0.118</v>
      </c>
      <c r="H13" s="11">
        <v>0.123</v>
      </c>
      <c r="I13" s="5"/>
      <c r="J13" s="5"/>
      <c r="K13" s="5"/>
      <c r="L13" s="5"/>
      <c r="M13" s="5"/>
      <c r="N13" s="5"/>
      <c r="O13" s="6" t="s">
        <v>14</v>
      </c>
    </row>
    <row r="14">
      <c r="A14" s="22"/>
      <c r="B14" s="2" t="s">
        <v>3</v>
      </c>
      <c r="C14" s="15">
        <v>0.133</v>
      </c>
      <c r="D14" s="11">
        <v>0.121</v>
      </c>
      <c r="E14" s="8">
        <v>0.116</v>
      </c>
      <c r="F14" s="17">
        <v>0.17</v>
      </c>
      <c r="G14" s="11">
        <v>0.122</v>
      </c>
      <c r="H14" s="8">
        <v>0.117</v>
      </c>
      <c r="I14" s="5"/>
      <c r="J14" s="5"/>
      <c r="K14" s="5"/>
      <c r="L14" s="5"/>
      <c r="M14" s="5"/>
      <c r="N14" s="5"/>
      <c r="O14" s="6" t="s">
        <v>14</v>
      </c>
    </row>
    <row r="15">
      <c r="A15" s="22"/>
      <c r="B15" s="2" t="s">
        <v>4</v>
      </c>
      <c r="C15" s="12">
        <v>0.11</v>
      </c>
      <c r="D15" s="11">
        <v>0.123</v>
      </c>
      <c r="E15" s="8">
        <v>0.113</v>
      </c>
      <c r="F15" s="5"/>
      <c r="G15" s="5"/>
      <c r="H15" s="5"/>
      <c r="I15" s="5"/>
      <c r="J15" s="5"/>
      <c r="K15" s="5"/>
      <c r="L15" s="5"/>
      <c r="M15" s="5"/>
      <c r="N15" s="5"/>
      <c r="O15" s="6" t="s">
        <v>14</v>
      </c>
    </row>
    <row r="16">
      <c r="A16" s="22"/>
      <c r="B16" s="2" t="s">
        <v>5</v>
      </c>
      <c r="C16" s="13">
        <v>0.157</v>
      </c>
      <c r="D16" s="15">
        <v>0.132</v>
      </c>
      <c r="E16" s="12">
        <v>0.108</v>
      </c>
      <c r="F16" s="5"/>
      <c r="G16" s="5"/>
      <c r="H16" s="5"/>
      <c r="I16" s="5"/>
      <c r="J16" s="5"/>
      <c r="K16" s="5"/>
      <c r="L16" s="5"/>
      <c r="M16" s="5"/>
      <c r="N16" s="5"/>
      <c r="O16" s="6" t="s">
        <v>14</v>
      </c>
    </row>
    <row r="17">
      <c r="A17" s="22"/>
      <c r="B17" s="2" t="s">
        <v>6</v>
      </c>
      <c r="C17" s="12">
        <v>0.106</v>
      </c>
      <c r="D17" s="12">
        <v>0.109</v>
      </c>
      <c r="E17" s="8">
        <v>0.114</v>
      </c>
      <c r="F17" s="5"/>
      <c r="G17" s="5"/>
      <c r="H17" s="5"/>
      <c r="I17" s="5"/>
      <c r="J17" s="5"/>
      <c r="K17" s="5"/>
      <c r="L17" s="5"/>
      <c r="M17" s="5"/>
      <c r="N17" s="5"/>
      <c r="O17" s="6" t="s">
        <v>14</v>
      </c>
    </row>
    <row r="18">
      <c r="A18" s="22"/>
      <c r="B18" s="2" t="s">
        <v>7</v>
      </c>
      <c r="C18" s="16">
        <v>0.151</v>
      </c>
      <c r="D18" s="8">
        <v>0.118</v>
      </c>
      <c r="E18" s="8">
        <v>0.113</v>
      </c>
      <c r="F18" s="5"/>
      <c r="G18" s="5"/>
      <c r="H18" s="5"/>
      <c r="I18" s="5"/>
      <c r="J18" s="5"/>
      <c r="K18" s="5"/>
      <c r="L18" s="5"/>
      <c r="M18" s="5"/>
      <c r="N18" s="5"/>
      <c r="O18" s="6" t="s">
        <v>14</v>
      </c>
    </row>
    <row r="19">
      <c r="A19" s="22"/>
      <c r="B19" s="2" t="s">
        <v>8</v>
      </c>
      <c r="C19" s="12">
        <v>0.106</v>
      </c>
      <c r="D19" s="12">
        <v>0.105</v>
      </c>
      <c r="E19" s="12">
        <v>0.111</v>
      </c>
      <c r="F19" s="5"/>
      <c r="G19" s="5"/>
      <c r="H19" s="5"/>
      <c r="I19" s="5"/>
      <c r="J19" s="5"/>
      <c r="K19" s="5"/>
      <c r="L19" s="5"/>
      <c r="M19" s="5"/>
      <c r="N19" s="5"/>
      <c r="O19" s="6" t="s">
        <v>14</v>
      </c>
    </row>
    <row r="21">
      <c r="A21" s="21"/>
      <c r="B21" s="1"/>
      <c r="C21" s="2">
        <v>1.0</v>
      </c>
      <c r="D21" s="2">
        <v>2.0</v>
      </c>
      <c r="E21" s="2">
        <v>3.0</v>
      </c>
      <c r="F21" s="2">
        <v>4.0</v>
      </c>
      <c r="G21" s="2">
        <v>5.0</v>
      </c>
      <c r="H21" s="2">
        <v>6.0</v>
      </c>
      <c r="I21" s="2">
        <v>7.0</v>
      </c>
      <c r="J21" s="2">
        <v>8.0</v>
      </c>
      <c r="K21" s="2">
        <v>9.0</v>
      </c>
      <c r="L21" s="2">
        <v>10.0</v>
      </c>
      <c r="M21" s="2">
        <v>11.0</v>
      </c>
      <c r="N21" s="2">
        <v>12.0</v>
      </c>
    </row>
    <row r="22">
      <c r="A22" s="22"/>
      <c r="B22" s="2" t="s">
        <v>0</v>
      </c>
      <c r="C22" s="3">
        <v>0.086</v>
      </c>
      <c r="D22" s="3">
        <v>0.088</v>
      </c>
      <c r="E22" s="3">
        <v>0.087</v>
      </c>
      <c r="F22" s="15">
        <v>0.148</v>
      </c>
      <c r="G22" s="14">
        <v>0.155</v>
      </c>
      <c r="H22" s="8">
        <v>0.127</v>
      </c>
      <c r="I22" s="5"/>
      <c r="J22" s="5"/>
      <c r="K22" s="5"/>
      <c r="L22" s="5"/>
      <c r="M22" s="5"/>
      <c r="N22" s="5"/>
      <c r="O22" s="6" t="s">
        <v>16</v>
      </c>
    </row>
    <row r="23">
      <c r="A23" s="22"/>
      <c r="B23" s="2" t="s">
        <v>2</v>
      </c>
      <c r="C23" s="13">
        <v>0.185</v>
      </c>
      <c r="D23" s="15">
        <v>0.141</v>
      </c>
      <c r="E23" s="16">
        <v>0.17</v>
      </c>
      <c r="F23" s="15">
        <v>0.148</v>
      </c>
      <c r="G23" s="16">
        <v>0.174</v>
      </c>
      <c r="H23" s="16">
        <v>0.171</v>
      </c>
      <c r="I23" s="5"/>
      <c r="J23" s="5"/>
      <c r="K23" s="5"/>
      <c r="L23" s="5"/>
      <c r="M23" s="5"/>
      <c r="N23" s="5"/>
      <c r="O23" s="6" t="s">
        <v>16</v>
      </c>
    </row>
    <row r="24">
      <c r="A24" s="22"/>
      <c r="B24" s="2" t="s">
        <v>3</v>
      </c>
      <c r="C24" s="18">
        <v>0.204</v>
      </c>
      <c r="D24" s="19">
        <v>0.163</v>
      </c>
      <c r="E24" s="19">
        <v>0.163</v>
      </c>
      <c r="F24" s="10">
        <v>0.216</v>
      </c>
      <c r="G24" s="13">
        <v>0.181</v>
      </c>
      <c r="H24" s="16">
        <v>0.169</v>
      </c>
      <c r="I24" s="5"/>
      <c r="J24" s="5"/>
      <c r="K24" s="5"/>
      <c r="L24" s="5"/>
      <c r="M24" s="5"/>
      <c r="N24" s="5"/>
      <c r="O24" s="6" t="s">
        <v>16</v>
      </c>
    </row>
    <row r="25">
      <c r="A25" s="22"/>
      <c r="B25" s="2" t="s">
        <v>4</v>
      </c>
      <c r="C25" s="15">
        <v>0.149</v>
      </c>
      <c r="D25" s="13">
        <v>0.187</v>
      </c>
      <c r="E25" s="14">
        <v>0.157</v>
      </c>
      <c r="F25" s="5"/>
      <c r="G25" s="5"/>
      <c r="H25" s="5"/>
      <c r="I25" s="5"/>
      <c r="J25" s="5"/>
      <c r="K25" s="5"/>
      <c r="L25" s="5"/>
      <c r="M25" s="5"/>
      <c r="N25" s="5"/>
      <c r="O25" s="6" t="s">
        <v>16</v>
      </c>
    </row>
    <row r="26">
      <c r="A26" s="22"/>
      <c r="B26" s="2" t="s">
        <v>5</v>
      </c>
      <c r="C26" s="13">
        <v>0.185</v>
      </c>
      <c r="D26" s="14">
        <v>0.15</v>
      </c>
      <c r="E26" s="11">
        <v>0.133</v>
      </c>
      <c r="F26" s="5"/>
      <c r="G26" s="5"/>
      <c r="H26" s="5"/>
      <c r="I26" s="5"/>
      <c r="J26" s="5"/>
      <c r="K26" s="5"/>
      <c r="L26" s="5"/>
      <c r="M26" s="5"/>
      <c r="N26" s="5"/>
      <c r="O26" s="6" t="s">
        <v>16</v>
      </c>
    </row>
    <row r="27">
      <c r="A27" s="22"/>
      <c r="B27" s="2" t="s">
        <v>6</v>
      </c>
      <c r="C27" s="11">
        <v>0.133</v>
      </c>
      <c r="D27" s="15">
        <v>0.146</v>
      </c>
      <c r="E27" s="15">
        <v>0.144</v>
      </c>
      <c r="F27" s="5"/>
      <c r="G27" s="5"/>
      <c r="H27" s="5"/>
      <c r="I27" s="5"/>
      <c r="J27" s="5"/>
      <c r="K27" s="5"/>
      <c r="L27" s="5"/>
      <c r="M27" s="5"/>
      <c r="N27" s="5"/>
      <c r="O27" s="6" t="s">
        <v>16</v>
      </c>
    </row>
    <row r="28">
      <c r="A28" s="22"/>
      <c r="B28" s="2" t="s">
        <v>7</v>
      </c>
      <c r="C28" s="18">
        <v>0.203</v>
      </c>
      <c r="D28" s="16">
        <v>0.168</v>
      </c>
      <c r="E28" s="14">
        <v>0.15</v>
      </c>
      <c r="F28" s="5"/>
      <c r="G28" s="5"/>
      <c r="H28" s="5"/>
      <c r="I28" s="5"/>
      <c r="J28" s="5"/>
      <c r="K28" s="5"/>
      <c r="L28" s="5"/>
      <c r="M28" s="5"/>
      <c r="N28" s="5"/>
      <c r="O28" s="6" t="s">
        <v>16</v>
      </c>
    </row>
    <row r="29">
      <c r="A29" s="22"/>
      <c r="B29" s="2" t="s">
        <v>8</v>
      </c>
      <c r="C29" s="11">
        <v>0.132</v>
      </c>
      <c r="D29" s="11">
        <v>0.134</v>
      </c>
      <c r="E29" s="15">
        <v>0.145</v>
      </c>
      <c r="F29" s="5"/>
      <c r="G29" s="5"/>
      <c r="H29" s="5"/>
      <c r="I29" s="5"/>
      <c r="J29" s="5"/>
      <c r="K29" s="5"/>
      <c r="L29" s="5"/>
      <c r="M29" s="5"/>
      <c r="N29" s="5"/>
      <c r="O29" s="6" t="s">
        <v>16</v>
      </c>
    </row>
    <row r="31">
      <c r="A31" s="21"/>
      <c r="B31" s="1"/>
      <c r="C31" s="2">
        <v>1.0</v>
      </c>
      <c r="D31" s="2">
        <v>2.0</v>
      </c>
      <c r="E31" s="2">
        <v>3.0</v>
      </c>
      <c r="F31" s="2">
        <v>4.0</v>
      </c>
      <c r="G31" s="2">
        <v>5.0</v>
      </c>
      <c r="H31" s="2">
        <v>6.0</v>
      </c>
      <c r="I31" s="2">
        <v>7.0</v>
      </c>
      <c r="J31" s="2">
        <v>8.0</v>
      </c>
      <c r="K31" s="2">
        <v>9.0</v>
      </c>
      <c r="L31" s="2">
        <v>10.0</v>
      </c>
      <c r="M31" s="2">
        <v>11.0</v>
      </c>
      <c r="N31" s="2">
        <v>12.0</v>
      </c>
    </row>
    <row r="32">
      <c r="A32" s="22"/>
      <c r="B32" s="2" t="s">
        <v>0</v>
      </c>
      <c r="C32" s="3">
        <v>0.085</v>
      </c>
      <c r="D32" s="3">
        <v>0.087</v>
      </c>
      <c r="E32" s="4">
        <v>0.087</v>
      </c>
      <c r="F32" s="4">
        <v>0.09</v>
      </c>
      <c r="G32" s="4">
        <v>0.09</v>
      </c>
      <c r="H32" s="3">
        <v>0.086</v>
      </c>
      <c r="I32" s="5"/>
      <c r="J32" s="5"/>
      <c r="K32" s="5"/>
      <c r="L32" s="5"/>
      <c r="M32" s="5"/>
      <c r="N32" s="5"/>
      <c r="O32" s="6" t="s">
        <v>18</v>
      </c>
    </row>
    <row r="33">
      <c r="A33" s="22"/>
      <c r="B33" s="2" t="s">
        <v>2</v>
      </c>
      <c r="C33" s="9">
        <v>0.097</v>
      </c>
      <c r="D33" s="4">
        <v>0.092</v>
      </c>
      <c r="E33" s="4">
        <v>0.093</v>
      </c>
      <c r="F33" s="4">
        <v>0.091</v>
      </c>
      <c r="G33" s="4">
        <v>0.092</v>
      </c>
      <c r="H33" s="9">
        <v>0.1</v>
      </c>
      <c r="I33" s="5"/>
      <c r="J33" s="5"/>
      <c r="K33" s="5"/>
      <c r="L33" s="5"/>
      <c r="M33" s="5"/>
      <c r="N33" s="5"/>
      <c r="O33" s="6" t="s">
        <v>18</v>
      </c>
    </row>
    <row r="34">
      <c r="A34" s="22"/>
      <c r="B34" s="2" t="s">
        <v>3</v>
      </c>
      <c r="C34" s="9">
        <v>0.097</v>
      </c>
      <c r="D34" s="9">
        <v>0.098</v>
      </c>
      <c r="E34" s="4">
        <v>0.092</v>
      </c>
      <c r="F34" s="16">
        <v>0.149</v>
      </c>
      <c r="G34" s="4">
        <v>0.093</v>
      </c>
      <c r="H34" s="4">
        <v>0.092</v>
      </c>
      <c r="I34" s="5"/>
      <c r="J34" s="5"/>
      <c r="K34" s="5"/>
      <c r="L34" s="5"/>
      <c r="M34" s="5"/>
      <c r="N34" s="5"/>
      <c r="O34" s="6" t="s">
        <v>18</v>
      </c>
    </row>
    <row r="35">
      <c r="A35" s="22"/>
      <c r="B35" s="2" t="s">
        <v>4</v>
      </c>
      <c r="C35" s="4">
        <v>0.088</v>
      </c>
      <c r="D35" s="4">
        <v>0.089</v>
      </c>
      <c r="E35" s="4">
        <v>0.089</v>
      </c>
      <c r="F35" s="5"/>
      <c r="G35" s="5"/>
      <c r="H35" s="5"/>
      <c r="I35" s="5"/>
      <c r="J35" s="5"/>
      <c r="K35" s="5"/>
      <c r="L35" s="5"/>
      <c r="M35" s="5"/>
      <c r="N35" s="5"/>
      <c r="O35" s="6" t="s">
        <v>18</v>
      </c>
    </row>
    <row r="36">
      <c r="A36" s="22"/>
      <c r="B36" s="2" t="s">
        <v>5</v>
      </c>
      <c r="C36" s="14">
        <v>0.135</v>
      </c>
      <c r="D36" s="8">
        <v>0.115</v>
      </c>
      <c r="E36" s="4">
        <v>0.089</v>
      </c>
      <c r="F36" s="5"/>
      <c r="G36" s="5"/>
      <c r="H36" s="5"/>
      <c r="I36" s="5"/>
      <c r="J36" s="5"/>
      <c r="K36" s="5"/>
      <c r="L36" s="5"/>
      <c r="M36" s="5"/>
      <c r="N36" s="5"/>
      <c r="O36" s="6" t="s">
        <v>18</v>
      </c>
    </row>
    <row r="37">
      <c r="A37" s="22"/>
      <c r="B37" s="2" t="s">
        <v>6</v>
      </c>
      <c r="C37" s="4">
        <v>0.092</v>
      </c>
      <c r="D37" s="4">
        <v>0.089</v>
      </c>
      <c r="E37" s="4">
        <v>0.093</v>
      </c>
      <c r="F37" s="5"/>
      <c r="G37" s="5"/>
      <c r="H37" s="5"/>
      <c r="I37" s="5"/>
      <c r="J37" s="5"/>
      <c r="K37" s="5"/>
      <c r="L37" s="5"/>
      <c r="M37" s="5"/>
      <c r="N37" s="5"/>
      <c r="O37" s="6" t="s">
        <v>18</v>
      </c>
    </row>
    <row r="38">
      <c r="A38" s="22"/>
      <c r="B38" s="2" t="s">
        <v>7</v>
      </c>
      <c r="C38" s="11">
        <v>0.118</v>
      </c>
      <c r="D38" s="4">
        <v>0.091</v>
      </c>
      <c r="E38" s="4">
        <v>0.088</v>
      </c>
      <c r="F38" s="5"/>
      <c r="G38" s="5"/>
      <c r="H38" s="5"/>
      <c r="I38" s="5"/>
      <c r="J38" s="5"/>
      <c r="K38" s="5"/>
      <c r="L38" s="5"/>
      <c r="M38" s="5"/>
      <c r="N38" s="5"/>
      <c r="O38" s="6" t="s">
        <v>18</v>
      </c>
    </row>
    <row r="39">
      <c r="A39" s="22"/>
      <c r="B39" s="2" t="s">
        <v>8</v>
      </c>
      <c r="C39" s="4">
        <v>0.088</v>
      </c>
      <c r="D39" s="3">
        <v>0.087</v>
      </c>
      <c r="E39" s="4">
        <v>0.091</v>
      </c>
      <c r="F39" s="5"/>
      <c r="G39" s="5"/>
      <c r="H39" s="5"/>
      <c r="I39" s="5"/>
      <c r="J39" s="5"/>
      <c r="K39" s="5"/>
      <c r="L39" s="5"/>
      <c r="M39" s="5"/>
      <c r="N39" s="5"/>
      <c r="O39" s="6" t="s">
        <v>18</v>
      </c>
    </row>
    <row r="41">
      <c r="A41" s="7" t="s">
        <v>32</v>
      </c>
      <c r="B41" s="7" t="s">
        <v>33</v>
      </c>
      <c r="C41" s="7" t="s">
        <v>34</v>
      </c>
      <c r="D41" s="7" t="s">
        <v>35</v>
      </c>
      <c r="E41" s="7" t="s">
        <v>36</v>
      </c>
      <c r="F41" s="7" t="s">
        <v>37</v>
      </c>
      <c r="H41" s="7" t="s">
        <v>38</v>
      </c>
    </row>
    <row r="42">
      <c r="A42" s="6" t="s">
        <v>12</v>
      </c>
      <c r="B42" s="2" t="s">
        <v>0</v>
      </c>
      <c r="C42" s="3">
        <v>0.089</v>
      </c>
      <c r="D42" s="7" t="s">
        <v>39</v>
      </c>
      <c r="E42" s="23">
        <f>AVERAGE(C42,C50,C58)</f>
        <v>0.09033333333</v>
      </c>
      <c r="F42" s="24">
        <f t="shared" ref="F42:F74" si="1">C42-E$42</f>
        <v>-0.001333333333</v>
      </c>
      <c r="H42" s="7">
        <v>1.0</v>
      </c>
    </row>
    <row r="43">
      <c r="A43" s="6" t="s">
        <v>12</v>
      </c>
      <c r="B43" s="2" t="s">
        <v>2</v>
      </c>
      <c r="C43" s="15">
        <v>0.136</v>
      </c>
      <c r="D43" s="7">
        <v>98.0</v>
      </c>
      <c r="F43" s="24">
        <f t="shared" si="1"/>
        <v>0.04566666667</v>
      </c>
      <c r="H43" s="7">
        <v>1.0</v>
      </c>
    </row>
    <row r="44">
      <c r="A44" s="6" t="s">
        <v>12</v>
      </c>
      <c r="B44" s="2" t="s">
        <v>3</v>
      </c>
      <c r="C44" s="14">
        <v>0.138</v>
      </c>
      <c r="D44" s="7">
        <v>103.0</v>
      </c>
      <c r="F44" s="24">
        <f t="shared" si="1"/>
        <v>0.04766666667</v>
      </c>
      <c r="H44" s="7">
        <v>1.0</v>
      </c>
    </row>
    <row r="45">
      <c r="A45" s="6" t="s">
        <v>12</v>
      </c>
      <c r="B45" s="2" t="s">
        <v>4</v>
      </c>
      <c r="C45" s="12">
        <v>0.115</v>
      </c>
      <c r="D45" s="7">
        <v>42.0</v>
      </c>
      <c r="F45" s="24">
        <f t="shared" si="1"/>
        <v>0.02466666667</v>
      </c>
      <c r="H45" s="7">
        <v>1.0</v>
      </c>
    </row>
    <row r="46">
      <c r="A46" s="6" t="s">
        <v>12</v>
      </c>
      <c r="B46" s="2" t="s">
        <v>5</v>
      </c>
      <c r="C46" s="17">
        <v>0.167</v>
      </c>
      <c r="D46" s="7">
        <v>50.0</v>
      </c>
      <c r="F46" s="24">
        <f t="shared" si="1"/>
        <v>0.07666666667</v>
      </c>
      <c r="H46" s="7">
        <v>1.0</v>
      </c>
    </row>
    <row r="47">
      <c r="A47" s="6" t="s">
        <v>12</v>
      </c>
      <c r="B47" s="2" t="s">
        <v>6</v>
      </c>
      <c r="C47" s="12">
        <v>0.11</v>
      </c>
      <c r="D47" s="7">
        <v>57.0</v>
      </c>
      <c r="F47" s="24">
        <f t="shared" si="1"/>
        <v>0.01966666667</v>
      </c>
      <c r="H47" s="7">
        <v>1.0</v>
      </c>
    </row>
    <row r="48">
      <c r="A48" s="6" t="s">
        <v>12</v>
      </c>
      <c r="B48" s="2" t="s">
        <v>7</v>
      </c>
      <c r="C48" s="13">
        <v>0.162</v>
      </c>
      <c r="D48" s="7">
        <v>59.0</v>
      </c>
      <c r="F48" s="24">
        <f t="shared" si="1"/>
        <v>0.07166666667</v>
      </c>
      <c r="H48" s="7">
        <v>1.0</v>
      </c>
    </row>
    <row r="49">
      <c r="A49" s="6" t="s">
        <v>12</v>
      </c>
      <c r="B49" s="2" t="s">
        <v>8</v>
      </c>
      <c r="C49" s="12">
        <v>0.112</v>
      </c>
      <c r="D49" s="7">
        <v>79.0</v>
      </c>
      <c r="F49" s="24">
        <f t="shared" si="1"/>
        <v>0.02166666667</v>
      </c>
      <c r="H49" s="7">
        <v>1.0</v>
      </c>
    </row>
    <row r="50">
      <c r="A50" s="6" t="s">
        <v>12</v>
      </c>
      <c r="B50" s="2" t="s">
        <v>0</v>
      </c>
      <c r="C50" s="3">
        <v>0.091</v>
      </c>
      <c r="D50" s="7" t="s">
        <v>39</v>
      </c>
      <c r="F50" s="24">
        <f t="shared" si="1"/>
        <v>0.0006666666667</v>
      </c>
      <c r="H50" s="7">
        <v>2.0</v>
      </c>
    </row>
    <row r="51">
      <c r="A51" s="6" t="s">
        <v>12</v>
      </c>
      <c r="B51" s="2" t="s">
        <v>2</v>
      </c>
      <c r="C51" s="8">
        <v>0.117</v>
      </c>
      <c r="D51" s="7">
        <v>98.0</v>
      </c>
      <c r="F51" s="24">
        <f t="shared" si="1"/>
        <v>0.02666666667</v>
      </c>
      <c r="H51" s="7">
        <v>2.0</v>
      </c>
    </row>
    <row r="52">
      <c r="A52" s="6" t="s">
        <v>12</v>
      </c>
      <c r="B52" s="2" t="s">
        <v>3</v>
      </c>
      <c r="C52" s="11">
        <v>0.126</v>
      </c>
      <c r="D52" s="7">
        <v>103.0</v>
      </c>
      <c r="F52" s="24">
        <f t="shared" si="1"/>
        <v>0.03566666667</v>
      </c>
      <c r="H52" s="7">
        <v>2.0</v>
      </c>
    </row>
    <row r="53">
      <c r="A53" s="6" t="s">
        <v>12</v>
      </c>
      <c r="B53" s="2" t="s">
        <v>4</v>
      </c>
      <c r="C53" s="11">
        <v>0.128</v>
      </c>
      <c r="D53" s="7">
        <v>42.0</v>
      </c>
      <c r="F53" s="24">
        <f t="shared" si="1"/>
        <v>0.03766666667</v>
      </c>
      <c r="H53" s="7">
        <v>2.0</v>
      </c>
    </row>
    <row r="54">
      <c r="A54" s="6" t="s">
        <v>12</v>
      </c>
      <c r="B54" s="2" t="s">
        <v>5</v>
      </c>
      <c r="C54" s="14">
        <v>0.144</v>
      </c>
      <c r="D54" s="7">
        <v>50.0</v>
      </c>
      <c r="F54" s="24">
        <f t="shared" si="1"/>
        <v>0.05366666667</v>
      </c>
      <c r="H54" s="7">
        <v>2.0</v>
      </c>
    </row>
    <row r="55">
      <c r="A55" s="6" t="s">
        <v>12</v>
      </c>
      <c r="B55" s="2" t="s">
        <v>6</v>
      </c>
      <c r="C55" s="12">
        <v>0.113</v>
      </c>
      <c r="D55" s="7">
        <v>57.0</v>
      </c>
      <c r="F55" s="24">
        <f t="shared" si="1"/>
        <v>0.02266666667</v>
      </c>
      <c r="H55" s="7">
        <v>2.0</v>
      </c>
    </row>
    <row r="56">
      <c r="A56" s="6" t="s">
        <v>12</v>
      </c>
      <c r="B56" s="2" t="s">
        <v>7</v>
      </c>
      <c r="C56" s="11">
        <v>0.124</v>
      </c>
      <c r="D56" s="7">
        <v>59.0</v>
      </c>
      <c r="F56" s="24">
        <f t="shared" si="1"/>
        <v>0.03366666667</v>
      </c>
      <c r="H56" s="7">
        <v>2.0</v>
      </c>
    </row>
    <row r="57">
      <c r="A57" s="6" t="s">
        <v>12</v>
      </c>
      <c r="B57" s="2" t="s">
        <v>8</v>
      </c>
      <c r="C57" s="12">
        <v>0.113</v>
      </c>
      <c r="D57" s="7">
        <v>79.0</v>
      </c>
      <c r="F57" s="24">
        <f t="shared" si="1"/>
        <v>0.02266666667</v>
      </c>
      <c r="H57" s="7">
        <v>2.0</v>
      </c>
    </row>
    <row r="58">
      <c r="A58" s="6" t="s">
        <v>12</v>
      </c>
      <c r="B58" s="2" t="s">
        <v>0</v>
      </c>
      <c r="C58" s="3">
        <v>0.091</v>
      </c>
      <c r="D58" s="7" t="s">
        <v>39</v>
      </c>
      <c r="F58" s="24">
        <f t="shared" si="1"/>
        <v>0.0006666666667</v>
      </c>
      <c r="H58" s="7">
        <v>3.0</v>
      </c>
    </row>
    <row r="59">
      <c r="A59" s="6" t="s">
        <v>12</v>
      </c>
      <c r="B59" s="2" t="s">
        <v>2</v>
      </c>
      <c r="C59" s="11">
        <v>0.127</v>
      </c>
      <c r="D59" s="7">
        <v>98.0</v>
      </c>
      <c r="F59" s="24">
        <f t="shared" si="1"/>
        <v>0.03666666667</v>
      </c>
      <c r="H59" s="7">
        <v>3.0</v>
      </c>
    </row>
    <row r="60">
      <c r="A60" s="6" t="s">
        <v>12</v>
      </c>
      <c r="B60" s="2" t="s">
        <v>3</v>
      </c>
      <c r="C60" s="8">
        <v>0.119</v>
      </c>
      <c r="D60" s="7">
        <v>103.0</v>
      </c>
      <c r="F60" s="24">
        <f t="shared" si="1"/>
        <v>0.02866666667</v>
      </c>
      <c r="H60" s="7">
        <v>3.0</v>
      </c>
    </row>
    <row r="61">
      <c r="A61" s="6" t="s">
        <v>12</v>
      </c>
      <c r="B61" s="2" t="s">
        <v>4</v>
      </c>
      <c r="C61" s="8">
        <v>0.117</v>
      </c>
      <c r="D61" s="7">
        <v>42.0</v>
      </c>
      <c r="F61" s="24">
        <f t="shared" si="1"/>
        <v>0.02666666667</v>
      </c>
      <c r="H61" s="7">
        <v>3.0</v>
      </c>
    </row>
    <row r="62">
      <c r="A62" s="6" t="s">
        <v>12</v>
      </c>
      <c r="B62" s="2" t="s">
        <v>5</v>
      </c>
      <c r="C62" s="8">
        <v>0.115</v>
      </c>
      <c r="D62" s="7">
        <v>50.0</v>
      </c>
      <c r="F62" s="24">
        <f t="shared" si="1"/>
        <v>0.02466666667</v>
      </c>
      <c r="H62" s="7">
        <v>3.0</v>
      </c>
    </row>
    <row r="63">
      <c r="A63" s="6" t="s">
        <v>12</v>
      </c>
      <c r="B63" s="2" t="s">
        <v>6</v>
      </c>
      <c r="C63" s="8">
        <v>0.116</v>
      </c>
      <c r="D63" s="7">
        <v>57.0</v>
      </c>
      <c r="F63" s="24">
        <f t="shared" si="1"/>
        <v>0.02566666667</v>
      </c>
      <c r="H63" s="7">
        <v>3.0</v>
      </c>
    </row>
    <row r="64">
      <c r="A64" s="6" t="s">
        <v>12</v>
      </c>
      <c r="B64" s="2" t="s">
        <v>7</v>
      </c>
      <c r="C64" s="8">
        <v>0.119</v>
      </c>
      <c r="D64" s="7">
        <v>59.0</v>
      </c>
      <c r="F64" s="24">
        <f t="shared" si="1"/>
        <v>0.02866666667</v>
      </c>
      <c r="H64" s="7">
        <v>3.0</v>
      </c>
    </row>
    <row r="65">
      <c r="A65" s="6" t="s">
        <v>12</v>
      </c>
      <c r="B65" s="2" t="s">
        <v>8</v>
      </c>
      <c r="C65" s="8">
        <v>0.118</v>
      </c>
      <c r="D65" s="7">
        <v>79.0</v>
      </c>
      <c r="F65" s="24">
        <f t="shared" si="1"/>
        <v>0.02766666667</v>
      </c>
      <c r="H65" s="7">
        <v>3.0</v>
      </c>
    </row>
    <row r="66">
      <c r="A66" s="6" t="s">
        <v>12</v>
      </c>
      <c r="B66" s="7" t="s">
        <v>0</v>
      </c>
      <c r="C66" s="11">
        <v>0.122</v>
      </c>
      <c r="D66" s="7">
        <v>86.0</v>
      </c>
      <c r="F66" s="24">
        <f t="shared" si="1"/>
        <v>0.03166666667</v>
      </c>
      <c r="H66" s="7">
        <v>1.0</v>
      </c>
    </row>
    <row r="67">
      <c r="A67" s="6" t="s">
        <v>12</v>
      </c>
      <c r="B67" s="7" t="s">
        <v>2</v>
      </c>
      <c r="C67" s="8">
        <v>0.121</v>
      </c>
      <c r="D67" s="7">
        <v>26.0</v>
      </c>
      <c r="F67" s="24">
        <f t="shared" si="1"/>
        <v>0.03066666667</v>
      </c>
      <c r="H67" s="7">
        <v>1.0</v>
      </c>
    </row>
    <row r="68">
      <c r="A68" s="6" t="s">
        <v>12</v>
      </c>
      <c r="B68" s="7" t="s">
        <v>3</v>
      </c>
      <c r="C68" s="17">
        <v>0.171</v>
      </c>
      <c r="D68" s="7">
        <v>30.0</v>
      </c>
      <c r="F68" s="24">
        <f t="shared" si="1"/>
        <v>0.08066666667</v>
      </c>
      <c r="H68" s="7">
        <v>1.0</v>
      </c>
    </row>
    <row r="69">
      <c r="A69" s="6" t="s">
        <v>12</v>
      </c>
      <c r="B69" s="7" t="s">
        <v>0</v>
      </c>
      <c r="C69" s="11">
        <v>0.126</v>
      </c>
      <c r="D69" s="7">
        <v>86.0</v>
      </c>
      <c r="F69" s="24">
        <f t="shared" si="1"/>
        <v>0.03566666667</v>
      </c>
      <c r="H69" s="7">
        <v>2.0</v>
      </c>
    </row>
    <row r="70">
      <c r="A70" s="6" t="s">
        <v>12</v>
      </c>
      <c r="B70" s="7" t="s">
        <v>2</v>
      </c>
      <c r="C70" s="8">
        <v>0.121</v>
      </c>
      <c r="D70" s="7">
        <v>26.0</v>
      </c>
      <c r="F70" s="24">
        <f t="shared" si="1"/>
        <v>0.03066666667</v>
      </c>
      <c r="H70" s="7">
        <v>2.0</v>
      </c>
    </row>
    <row r="71">
      <c r="A71" s="6" t="s">
        <v>12</v>
      </c>
      <c r="B71" s="7" t="s">
        <v>3</v>
      </c>
      <c r="C71" s="11">
        <v>0.126</v>
      </c>
      <c r="D71" s="7">
        <v>30.0</v>
      </c>
      <c r="F71" s="24">
        <f t="shared" si="1"/>
        <v>0.03566666667</v>
      </c>
      <c r="H71" s="7">
        <v>2.0</v>
      </c>
    </row>
    <row r="72">
      <c r="A72" s="6" t="s">
        <v>12</v>
      </c>
      <c r="B72" s="7" t="s">
        <v>0</v>
      </c>
      <c r="C72" s="12">
        <v>0.11</v>
      </c>
      <c r="D72" s="7">
        <v>86.0</v>
      </c>
      <c r="F72" s="24">
        <f t="shared" si="1"/>
        <v>0.01966666667</v>
      </c>
      <c r="H72" s="7">
        <v>3.0</v>
      </c>
    </row>
    <row r="73">
      <c r="A73" s="6" t="s">
        <v>12</v>
      </c>
      <c r="B73" s="7" t="s">
        <v>2</v>
      </c>
      <c r="C73" s="11">
        <v>0.125</v>
      </c>
      <c r="D73" s="7">
        <v>26.0</v>
      </c>
      <c r="F73" s="24">
        <f t="shared" si="1"/>
        <v>0.03466666667</v>
      </c>
      <c r="H73" s="7">
        <v>3.0</v>
      </c>
    </row>
    <row r="74">
      <c r="A74" s="6" t="s">
        <v>12</v>
      </c>
      <c r="B74" s="7" t="s">
        <v>3</v>
      </c>
      <c r="C74" s="11">
        <v>0.123</v>
      </c>
      <c r="D74" s="7">
        <v>30.0</v>
      </c>
      <c r="F74" s="24">
        <f t="shared" si="1"/>
        <v>0.03266666667</v>
      </c>
      <c r="H74" s="7">
        <v>3.0</v>
      </c>
    </row>
    <row r="75">
      <c r="A75" s="6" t="s">
        <v>14</v>
      </c>
      <c r="B75" s="2" t="s">
        <v>0</v>
      </c>
      <c r="C75" s="3">
        <v>0.087</v>
      </c>
      <c r="D75" s="7" t="s">
        <v>39</v>
      </c>
      <c r="E75" s="23">
        <f>AVERAGE(C75,C83,C91)</f>
        <v>0.088</v>
      </c>
      <c r="F75" s="24">
        <f t="shared" ref="F75:F107" si="2">C75-E$75</f>
        <v>-0.001</v>
      </c>
      <c r="H75" s="7">
        <v>1.0</v>
      </c>
    </row>
    <row r="76">
      <c r="A76" s="6" t="s">
        <v>14</v>
      </c>
      <c r="B76" s="2" t="s">
        <v>2</v>
      </c>
      <c r="C76" s="15">
        <v>0.128</v>
      </c>
      <c r="D76" s="7">
        <v>98.0</v>
      </c>
      <c r="F76" s="24">
        <f t="shared" si="2"/>
        <v>0.04</v>
      </c>
      <c r="H76" s="7">
        <v>1.0</v>
      </c>
    </row>
    <row r="77">
      <c r="A77" s="6" t="s">
        <v>14</v>
      </c>
      <c r="B77" s="2" t="s">
        <v>3</v>
      </c>
      <c r="C77" s="15">
        <v>0.133</v>
      </c>
      <c r="D77" s="7">
        <v>103.0</v>
      </c>
      <c r="F77" s="24">
        <f t="shared" si="2"/>
        <v>0.045</v>
      </c>
      <c r="H77" s="7">
        <v>1.0</v>
      </c>
    </row>
    <row r="78">
      <c r="A78" s="6" t="s">
        <v>14</v>
      </c>
      <c r="B78" s="2" t="s">
        <v>4</v>
      </c>
      <c r="C78" s="12">
        <v>0.11</v>
      </c>
      <c r="D78" s="7">
        <v>42.0</v>
      </c>
      <c r="F78" s="24">
        <f t="shared" si="2"/>
        <v>0.022</v>
      </c>
      <c r="H78" s="7">
        <v>1.0</v>
      </c>
    </row>
    <row r="79">
      <c r="A79" s="6" t="s">
        <v>14</v>
      </c>
      <c r="B79" s="2" t="s">
        <v>5</v>
      </c>
      <c r="C79" s="13">
        <v>0.157</v>
      </c>
      <c r="D79" s="7">
        <v>50.0</v>
      </c>
      <c r="F79" s="24">
        <f t="shared" si="2"/>
        <v>0.069</v>
      </c>
      <c r="H79" s="7">
        <v>1.0</v>
      </c>
    </row>
    <row r="80">
      <c r="A80" s="6" t="s">
        <v>14</v>
      </c>
      <c r="B80" s="2" t="s">
        <v>6</v>
      </c>
      <c r="C80" s="12">
        <v>0.106</v>
      </c>
      <c r="D80" s="7">
        <v>57.0</v>
      </c>
      <c r="F80" s="24">
        <f t="shared" si="2"/>
        <v>0.018</v>
      </c>
      <c r="H80" s="7">
        <v>1.0</v>
      </c>
    </row>
    <row r="81">
      <c r="A81" s="6" t="s">
        <v>14</v>
      </c>
      <c r="B81" s="2" t="s">
        <v>7</v>
      </c>
      <c r="C81" s="16">
        <v>0.151</v>
      </c>
      <c r="D81" s="7">
        <v>59.0</v>
      </c>
      <c r="F81" s="24">
        <f t="shared" si="2"/>
        <v>0.063</v>
      </c>
      <c r="H81" s="7">
        <v>1.0</v>
      </c>
    </row>
    <row r="82">
      <c r="A82" s="6" t="s">
        <v>14</v>
      </c>
      <c r="B82" s="2" t="s">
        <v>8</v>
      </c>
      <c r="C82" s="12">
        <v>0.106</v>
      </c>
      <c r="D82" s="7">
        <v>79.0</v>
      </c>
      <c r="F82" s="24">
        <f t="shared" si="2"/>
        <v>0.018</v>
      </c>
      <c r="H82" s="7">
        <v>1.0</v>
      </c>
    </row>
    <row r="83">
      <c r="A83" s="6" t="s">
        <v>14</v>
      </c>
      <c r="B83" s="2" t="s">
        <v>0</v>
      </c>
      <c r="C83" s="3">
        <v>0.089</v>
      </c>
      <c r="D83" s="7" t="s">
        <v>39</v>
      </c>
      <c r="F83" s="24">
        <f t="shared" si="2"/>
        <v>0.001</v>
      </c>
      <c r="H83" s="7">
        <v>2.0</v>
      </c>
    </row>
    <row r="84">
      <c r="A84" s="6" t="s">
        <v>14</v>
      </c>
      <c r="B84" s="2" t="s">
        <v>2</v>
      </c>
      <c r="C84" s="12">
        <v>0.11</v>
      </c>
      <c r="D84" s="7">
        <v>98.0</v>
      </c>
      <c r="F84" s="24">
        <f t="shared" si="2"/>
        <v>0.022</v>
      </c>
      <c r="H84" s="7">
        <v>2.0</v>
      </c>
    </row>
    <row r="85">
      <c r="A85" s="6" t="s">
        <v>14</v>
      </c>
      <c r="B85" s="2" t="s">
        <v>3</v>
      </c>
      <c r="C85" s="11">
        <v>0.121</v>
      </c>
      <c r="D85" s="7">
        <v>103.0</v>
      </c>
      <c r="F85" s="24">
        <f t="shared" si="2"/>
        <v>0.033</v>
      </c>
      <c r="H85" s="7">
        <v>2.0</v>
      </c>
    </row>
    <row r="86">
      <c r="A86" s="6" t="s">
        <v>14</v>
      </c>
      <c r="B86" s="2" t="s">
        <v>4</v>
      </c>
      <c r="C86" s="11">
        <v>0.123</v>
      </c>
      <c r="D86" s="7">
        <v>42.0</v>
      </c>
      <c r="F86" s="24">
        <f t="shared" si="2"/>
        <v>0.035</v>
      </c>
      <c r="H86" s="7">
        <v>2.0</v>
      </c>
    </row>
    <row r="87">
      <c r="A87" s="6" t="s">
        <v>14</v>
      </c>
      <c r="B87" s="2" t="s">
        <v>5</v>
      </c>
      <c r="C87" s="15">
        <v>0.132</v>
      </c>
      <c r="D87" s="7">
        <v>50.0</v>
      </c>
      <c r="F87" s="24">
        <f t="shared" si="2"/>
        <v>0.044</v>
      </c>
      <c r="H87" s="7">
        <v>2.0</v>
      </c>
    </row>
    <row r="88">
      <c r="A88" s="6" t="s">
        <v>14</v>
      </c>
      <c r="B88" s="2" t="s">
        <v>6</v>
      </c>
      <c r="C88" s="12">
        <v>0.109</v>
      </c>
      <c r="D88" s="7">
        <v>57.0</v>
      </c>
      <c r="F88" s="24">
        <f t="shared" si="2"/>
        <v>0.021</v>
      </c>
      <c r="H88" s="7">
        <v>2.0</v>
      </c>
    </row>
    <row r="89">
      <c r="A89" s="6" t="s">
        <v>14</v>
      </c>
      <c r="B89" s="2" t="s">
        <v>7</v>
      </c>
      <c r="C89" s="8">
        <v>0.118</v>
      </c>
      <c r="D89" s="7">
        <v>59.0</v>
      </c>
      <c r="F89" s="24">
        <f t="shared" si="2"/>
        <v>0.03</v>
      </c>
      <c r="H89" s="7">
        <v>2.0</v>
      </c>
    </row>
    <row r="90">
      <c r="A90" s="6" t="s">
        <v>14</v>
      </c>
      <c r="B90" s="2" t="s">
        <v>8</v>
      </c>
      <c r="C90" s="12">
        <v>0.105</v>
      </c>
      <c r="D90" s="7">
        <v>79.0</v>
      </c>
      <c r="F90" s="24">
        <f t="shared" si="2"/>
        <v>0.017</v>
      </c>
      <c r="H90" s="7">
        <v>2.0</v>
      </c>
    </row>
    <row r="91">
      <c r="A91" s="6" t="s">
        <v>14</v>
      </c>
      <c r="B91" s="2" t="s">
        <v>0</v>
      </c>
      <c r="C91" s="3">
        <v>0.088</v>
      </c>
      <c r="D91" s="7" t="s">
        <v>39</v>
      </c>
      <c r="F91" s="24">
        <f t="shared" si="2"/>
        <v>0</v>
      </c>
      <c r="H91" s="7">
        <v>3.0</v>
      </c>
    </row>
    <row r="92">
      <c r="A92" s="6" t="s">
        <v>14</v>
      </c>
      <c r="B92" s="2" t="s">
        <v>2</v>
      </c>
      <c r="C92" s="11">
        <v>0.121</v>
      </c>
      <c r="D92" s="7">
        <v>98.0</v>
      </c>
      <c r="F92" s="24">
        <f t="shared" si="2"/>
        <v>0.033</v>
      </c>
      <c r="H92" s="7">
        <v>3.0</v>
      </c>
    </row>
    <row r="93">
      <c r="A93" s="6" t="s">
        <v>14</v>
      </c>
      <c r="B93" s="2" t="s">
        <v>3</v>
      </c>
      <c r="C93" s="8">
        <v>0.116</v>
      </c>
      <c r="D93" s="7">
        <v>103.0</v>
      </c>
      <c r="F93" s="24">
        <f t="shared" si="2"/>
        <v>0.028</v>
      </c>
      <c r="H93" s="7">
        <v>3.0</v>
      </c>
    </row>
    <row r="94">
      <c r="A94" s="6" t="s">
        <v>14</v>
      </c>
      <c r="B94" s="2" t="s">
        <v>4</v>
      </c>
      <c r="C94" s="8">
        <v>0.113</v>
      </c>
      <c r="D94" s="7">
        <v>42.0</v>
      </c>
      <c r="F94" s="24">
        <f t="shared" si="2"/>
        <v>0.025</v>
      </c>
      <c r="H94" s="7">
        <v>3.0</v>
      </c>
    </row>
    <row r="95">
      <c r="A95" s="6" t="s">
        <v>14</v>
      </c>
      <c r="B95" s="2" t="s">
        <v>5</v>
      </c>
      <c r="C95" s="12">
        <v>0.108</v>
      </c>
      <c r="D95" s="7">
        <v>50.0</v>
      </c>
      <c r="F95" s="24">
        <f t="shared" si="2"/>
        <v>0.02</v>
      </c>
      <c r="H95" s="7">
        <v>3.0</v>
      </c>
    </row>
    <row r="96">
      <c r="A96" s="6" t="s">
        <v>14</v>
      </c>
      <c r="B96" s="2" t="s">
        <v>6</v>
      </c>
      <c r="C96" s="8">
        <v>0.114</v>
      </c>
      <c r="D96" s="7">
        <v>57.0</v>
      </c>
      <c r="F96" s="24">
        <f t="shared" si="2"/>
        <v>0.026</v>
      </c>
      <c r="H96" s="7">
        <v>3.0</v>
      </c>
    </row>
    <row r="97">
      <c r="A97" s="6" t="s">
        <v>14</v>
      </c>
      <c r="B97" s="2" t="s">
        <v>7</v>
      </c>
      <c r="C97" s="8">
        <v>0.113</v>
      </c>
      <c r="D97" s="7">
        <v>59.0</v>
      </c>
      <c r="F97" s="24">
        <f t="shared" si="2"/>
        <v>0.025</v>
      </c>
      <c r="H97" s="7">
        <v>3.0</v>
      </c>
    </row>
    <row r="98">
      <c r="A98" s="6" t="s">
        <v>14</v>
      </c>
      <c r="B98" s="2" t="s">
        <v>8</v>
      </c>
      <c r="C98" s="12">
        <v>0.111</v>
      </c>
      <c r="D98" s="7">
        <v>79.0</v>
      </c>
      <c r="F98" s="24">
        <f t="shared" si="2"/>
        <v>0.023</v>
      </c>
      <c r="H98" s="7">
        <v>3.0</v>
      </c>
    </row>
    <row r="99">
      <c r="A99" s="6" t="s">
        <v>14</v>
      </c>
      <c r="B99" s="7" t="s">
        <v>0</v>
      </c>
      <c r="C99" s="8">
        <v>0.114</v>
      </c>
      <c r="D99" s="7">
        <v>86.0</v>
      </c>
      <c r="F99" s="24">
        <f t="shared" si="2"/>
        <v>0.026</v>
      </c>
      <c r="H99" s="7">
        <v>1.0</v>
      </c>
    </row>
    <row r="100">
      <c r="A100" s="6" t="s">
        <v>14</v>
      </c>
      <c r="B100" s="7" t="s">
        <v>2</v>
      </c>
      <c r="C100" s="12">
        <v>0.11</v>
      </c>
      <c r="D100" s="7">
        <v>26.0</v>
      </c>
      <c r="F100" s="24">
        <f t="shared" si="2"/>
        <v>0.022</v>
      </c>
      <c r="H100" s="7">
        <v>1.0</v>
      </c>
    </row>
    <row r="101">
      <c r="A101" s="6" t="s">
        <v>14</v>
      </c>
      <c r="B101" s="7" t="s">
        <v>3</v>
      </c>
      <c r="C101" s="17">
        <v>0.17</v>
      </c>
      <c r="D101" s="7">
        <v>30.0</v>
      </c>
      <c r="F101" s="24">
        <f t="shared" si="2"/>
        <v>0.082</v>
      </c>
      <c r="H101" s="7">
        <v>1.0</v>
      </c>
    </row>
    <row r="102">
      <c r="A102" s="6" t="s">
        <v>14</v>
      </c>
      <c r="B102" s="7" t="s">
        <v>0</v>
      </c>
      <c r="C102" s="8">
        <v>0.117</v>
      </c>
      <c r="D102" s="7">
        <v>86.0</v>
      </c>
      <c r="F102" s="24">
        <f t="shared" si="2"/>
        <v>0.029</v>
      </c>
      <c r="H102" s="7">
        <v>2.0</v>
      </c>
    </row>
    <row r="103">
      <c r="A103" s="6" t="s">
        <v>14</v>
      </c>
      <c r="B103" s="7" t="s">
        <v>2</v>
      </c>
      <c r="C103" s="8">
        <v>0.118</v>
      </c>
      <c r="D103" s="7">
        <v>26.0</v>
      </c>
      <c r="F103" s="24">
        <f t="shared" si="2"/>
        <v>0.03</v>
      </c>
      <c r="H103" s="7">
        <v>2.0</v>
      </c>
    </row>
    <row r="104">
      <c r="A104" s="6" t="s">
        <v>14</v>
      </c>
      <c r="B104" s="7" t="s">
        <v>3</v>
      </c>
      <c r="C104" s="11">
        <v>0.122</v>
      </c>
      <c r="D104" s="7">
        <v>30.0</v>
      </c>
      <c r="F104" s="24">
        <f t="shared" si="2"/>
        <v>0.034</v>
      </c>
      <c r="H104" s="7">
        <v>2.0</v>
      </c>
    </row>
    <row r="105">
      <c r="A105" s="6" t="s">
        <v>14</v>
      </c>
      <c r="B105" s="7" t="s">
        <v>0</v>
      </c>
      <c r="C105" s="9">
        <v>0.103</v>
      </c>
      <c r="D105" s="7">
        <v>86.0</v>
      </c>
      <c r="F105" s="24">
        <f t="shared" si="2"/>
        <v>0.015</v>
      </c>
      <c r="H105" s="7">
        <v>3.0</v>
      </c>
    </row>
    <row r="106">
      <c r="A106" s="6" t="s">
        <v>14</v>
      </c>
      <c r="B106" s="7" t="s">
        <v>2</v>
      </c>
      <c r="C106" s="11">
        <v>0.123</v>
      </c>
      <c r="D106" s="7">
        <v>26.0</v>
      </c>
      <c r="F106" s="24">
        <f t="shared" si="2"/>
        <v>0.035</v>
      </c>
      <c r="H106" s="7">
        <v>3.0</v>
      </c>
    </row>
    <row r="107">
      <c r="A107" s="6" t="s">
        <v>14</v>
      </c>
      <c r="B107" s="7" t="s">
        <v>3</v>
      </c>
      <c r="C107" s="8">
        <v>0.117</v>
      </c>
      <c r="D107" s="7">
        <v>30.0</v>
      </c>
      <c r="F107" s="24">
        <f t="shared" si="2"/>
        <v>0.029</v>
      </c>
      <c r="H107" s="7">
        <v>3.0</v>
      </c>
    </row>
    <row r="108">
      <c r="A108" s="6" t="s">
        <v>16</v>
      </c>
      <c r="B108" s="2" t="s">
        <v>0</v>
      </c>
      <c r="C108" s="3">
        <v>0.086</v>
      </c>
      <c r="D108" s="7" t="s">
        <v>39</v>
      </c>
      <c r="E108" s="23">
        <f>AVERAGE(C108,C116,C124)</f>
        <v>0.08733333333</v>
      </c>
      <c r="F108" s="24">
        <f t="shared" ref="F108:F140" si="3">C108-E$108</f>
        <v>-0.001333333333</v>
      </c>
      <c r="H108" s="7">
        <v>1.0</v>
      </c>
    </row>
    <row r="109">
      <c r="A109" s="6" t="s">
        <v>16</v>
      </c>
      <c r="B109" s="2" t="s">
        <v>2</v>
      </c>
      <c r="C109" s="13">
        <v>0.185</v>
      </c>
      <c r="D109" s="7">
        <v>98.0</v>
      </c>
      <c r="F109" s="24">
        <f t="shared" si="3"/>
        <v>0.09766666667</v>
      </c>
      <c r="H109" s="7">
        <v>1.0</v>
      </c>
    </row>
    <row r="110">
      <c r="A110" s="6" t="s">
        <v>16</v>
      </c>
      <c r="B110" s="2" t="s">
        <v>3</v>
      </c>
      <c r="C110" s="18">
        <v>0.204</v>
      </c>
      <c r="D110" s="7">
        <v>103.0</v>
      </c>
      <c r="F110" s="24">
        <f t="shared" si="3"/>
        <v>0.1166666667</v>
      </c>
      <c r="H110" s="7">
        <v>1.0</v>
      </c>
    </row>
    <row r="111">
      <c r="A111" s="6" t="s">
        <v>16</v>
      </c>
      <c r="B111" s="2" t="s">
        <v>4</v>
      </c>
      <c r="C111" s="15">
        <v>0.149</v>
      </c>
      <c r="D111" s="7">
        <v>42.0</v>
      </c>
      <c r="F111" s="24">
        <f t="shared" si="3"/>
        <v>0.06166666667</v>
      </c>
      <c r="H111" s="7">
        <v>1.0</v>
      </c>
    </row>
    <row r="112">
      <c r="A112" s="6" t="s">
        <v>16</v>
      </c>
      <c r="B112" s="2" t="s">
        <v>5</v>
      </c>
      <c r="C112" s="13">
        <v>0.185</v>
      </c>
      <c r="D112" s="7">
        <v>50.0</v>
      </c>
      <c r="F112" s="24">
        <f t="shared" si="3"/>
        <v>0.09766666667</v>
      </c>
      <c r="H112" s="7">
        <v>1.0</v>
      </c>
    </row>
    <row r="113">
      <c r="A113" s="6" t="s">
        <v>16</v>
      </c>
      <c r="B113" s="2" t="s">
        <v>6</v>
      </c>
      <c r="C113" s="11">
        <v>0.133</v>
      </c>
      <c r="D113" s="7">
        <v>57.0</v>
      </c>
      <c r="F113" s="24">
        <f t="shared" si="3"/>
        <v>0.04566666667</v>
      </c>
      <c r="H113" s="7">
        <v>1.0</v>
      </c>
    </row>
    <row r="114">
      <c r="A114" s="6" t="s">
        <v>16</v>
      </c>
      <c r="B114" s="2" t="s">
        <v>7</v>
      </c>
      <c r="C114" s="18">
        <v>0.203</v>
      </c>
      <c r="D114" s="7">
        <v>59.0</v>
      </c>
      <c r="F114" s="24">
        <f t="shared" si="3"/>
        <v>0.1156666667</v>
      </c>
      <c r="H114" s="7">
        <v>1.0</v>
      </c>
    </row>
    <row r="115">
      <c r="A115" s="6" t="s">
        <v>16</v>
      </c>
      <c r="B115" s="2" t="s">
        <v>8</v>
      </c>
      <c r="C115" s="11">
        <v>0.132</v>
      </c>
      <c r="D115" s="7">
        <v>79.0</v>
      </c>
      <c r="F115" s="24">
        <f t="shared" si="3"/>
        <v>0.04466666667</v>
      </c>
      <c r="H115" s="7">
        <v>1.0</v>
      </c>
    </row>
    <row r="116">
      <c r="A116" s="6" t="s">
        <v>16</v>
      </c>
      <c r="B116" s="2" t="s">
        <v>0</v>
      </c>
      <c r="C116" s="3">
        <v>0.089</v>
      </c>
      <c r="D116" s="7" t="s">
        <v>39</v>
      </c>
      <c r="F116" s="24">
        <f t="shared" si="3"/>
        <v>0.001666666667</v>
      </c>
      <c r="H116" s="7">
        <v>2.0</v>
      </c>
    </row>
    <row r="117">
      <c r="A117" s="6" t="s">
        <v>16</v>
      </c>
      <c r="B117" s="2" t="s">
        <v>2</v>
      </c>
      <c r="C117" s="12">
        <v>0.11</v>
      </c>
      <c r="D117" s="7">
        <v>98.0</v>
      </c>
      <c r="F117" s="24">
        <f t="shared" si="3"/>
        <v>0.02266666667</v>
      </c>
      <c r="H117" s="7">
        <v>2.0</v>
      </c>
    </row>
    <row r="118">
      <c r="A118" s="6" t="s">
        <v>16</v>
      </c>
      <c r="B118" s="2" t="s">
        <v>3</v>
      </c>
      <c r="C118" s="11">
        <v>0.121</v>
      </c>
      <c r="D118" s="7">
        <v>103.0</v>
      </c>
      <c r="F118" s="24">
        <f t="shared" si="3"/>
        <v>0.03366666667</v>
      </c>
      <c r="H118" s="7">
        <v>2.0</v>
      </c>
    </row>
    <row r="119">
      <c r="A119" s="6" t="s">
        <v>16</v>
      </c>
      <c r="B119" s="2" t="s">
        <v>4</v>
      </c>
      <c r="C119" s="11">
        <v>0.123</v>
      </c>
      <c r="D119" s="7">
        <v>42.0</v>
      </c>
      <c r="F119" s="24">
        <f t="shared" si="3"/>
        <v>0.03566666667</v>
      </c>
      <c r="H119" s="7">
        <v>2.0</v>
      </c>
    </row>
    <row r="120">
      <c r="A120" s="6" t="s">
        <v>16</v>
      </c>
      <c r="B120" s="2" t="s">
        <v>5</v>
      </c>
      <c r="C120" s="15">
        <v>0.132</v>
      </c>
      <c r="D120" s="7">
        <v>50.0</v>
      </c>
      <c r="F120" s="24">
        <f t="shared" si="3"/>
        <v>0.04466666667</v>
      </c>
      <c r="H120" s="7">
        <v>2.0</v>
      </c>
    </row>
    <row r="121">
      <c r="A121" s="6" t="s">
        <v>16</v>
      </c>
      <c r="B121" s="2" t="s">
        <v>6</v>
      </c>
      <c r="C121" s="12">
        <v>0.109</v>
      </c>
      <c r="D121" s="7">
        <v>57.0</v>
      </c>
      <c r="F121" s="24">
        <f t="shared" si="3"/>
        <v>0.02166666667</v>
      </c>
      <c r="H121" s="7">
        <v>2.0</v>
      </c>
    </row>
    <row r="122">
      <c r="A122" s="6" t="s">
        <v>16</v>
      </c>
      <c r="B122" s="2" t="s">
        <v>7</v>
      </c>
      <c r="C122" s="8">
        <v>0.118</v>
      </c>
      <c r="D122" s="7">
        <v>59.0</v>
      </c>
      <c r="F122" s="24">
        <f t="shared" si="3"/>
        <v>0.03066666667</v>
      </c>
      <c r="H122" s="7">
        <v>2.0</v>
      </c>
    </row>
    <row r="123">
      <c r="A123" s="6" t="s">
        <v>16</v>
      </c>
      <c r="B123" s="2" t="s">
        <v>8</v>
      </c>
      <c r="C123" s="12">
        <v>0.105</v>
      </c>
      <c r="D123" s="7">
        <v>79.0</v>
      </c>
      <c r="F123" s="24">
        <f t="shared" si="3"/>
        <v>0.01766666667</v>
      </c>
      <c r="H123" s="7">
        <v>2.0</v>
      </c>
    </row>
    <row r="124">
      <c r="A124" s="6" t="s">
        <v>16</v>
      </c>
      <c r="B124" s="2" t="s">
        <v>0</v>
      </c>
      <c r="C124" s="3">
        <v>0.087</v>
      </c>
      <c r="D124" s="7" t="s">
        <v>39</v>
      </c>
      <c r="F124" s="24">
        <f t="shared" si="3"/>
        <v>-0.0003333333333</v>
      </c>
      <c r="H124" s="7">
        <v>3.0</v>
      </c>
    </row>
    <row r="125">
      <c r="A125" s="6" t="s">
        <v>16</v>
      </c>
      <c r="B125" s="2" t="s">
        <v>2</v>
      </c>
      <c r="C125" s="16">
        <v>0.17</v>
      </c>
      <c r="D125" s="7">
        <v>98.0</v>
      </c>
      <c r="F125" s="24">
        <f t="shared" si="3"/>
        <v>0.08266666667</v>
      </c>
      <c r="H125" s="7">
        <v>3.0</v>
      </c>
    </row>
    <row r="126">
      <c r="A126" s="6" t="s">
        <v>16</v>
      </c>
      <c r="B126" s="2" t="s">
        <v>3</v>
      </c>
      <c r="C126" s="19">
        <v>0.163</v>
      </c>
      <c r="D126" s="7">
        <v>103.0</v>
      </c>
      <c r="F126" s="24">
        <f t="shared" si="3"/>
        <v>0.07566666667</v>
      </c>
      <c r="H126" s="7">
        <v>3.0</v>
      </c>
    </row>
    <row r="127">
      <c r="A127" s="6" t="s">
        <v>16</v>
      </c>
      <c r="B127" s="2" t="s">
        <v>4</v>
      </c>
      <c r="C127" s="14">
        <v>0.157</v>
      </c>
      <c r="D127" s="7">
        <v>42.0</v>
      </c>
      <c r="F127" s="24">
        <f t="shared" si="3"/>
        <v>0.06966666667</v>
      </c>
      <c r="H127" s="7">
        <v>3.0</v>
      </c>
    </row>
    <row r="128">
      <c r="A128" s="6" t="s">
        <v>16</v>
      </c>
      <c r="B128" s="2" t="s">
        <v>5</v>
      </c>
      <c r="C128" s="11">
        <v>0.133</v>
      </c>
      <c r="D128" s="7">
        <v>50.0</v>
      </c>
      <c r="F128" s="24">
        <f t="shared" si="3"/>
        <v>0.04566666667</v>
      </c>
      <c r="H128" s="7">
        <v>3.0</v>
      </c>
    </row>
    <row r="129">
      <c r="A129" s="6" t="s">
        <v>16</v>
      </c>
      <c r="B129" s="2" t="s">
        <v>6</v>
      </c>
      <c r="C129" s="15">
        <v>0.144</v>
      </c>
      <c r="D129" s="7">
        <v>57.0</v>
      </c>
      <c r="F129" s="24">
        <f t="shared" si="3"/>
        <v>0.05666666667</v>
      </c>
      <c r="H129" s="7">
        <v>3.0</v>
      </c>
    </row>
    <row r="130">
      <c r="A130" s="6" t="s">
        <v>16</v>
      </c>
      <c r="B130" s="2" t="s">
        <v>7</v>
      </c>
      <c r="C130" s="14">
        <v>0.15</v>
      </c>
      <c r="D130" s="7">
        <v>59.0</v>
      </c>
      <c r="F130" s="24">
        <f t="shared" si="3"/>
        <v>0.06266666667</v>
      </c>
      <c r="H130" s="7">
        <v>3.0</v>
      </c>
    </row>
    <row r="131">
      <c r="A131" s="6" t="s">
        <v>16</v>
      </c>
      <c r="B131" s="2" t="s">
        <v>8</v>
      </c>
      <c r="C131" s="15">
        <v>0.145</v>
      </c>
      <c r="D131" s="7">
        <v>79.0</v>
      </c>
      <c r="F131" s="24">
        <f t="shared" si="3"/>
        <v>0.05766666667</v>
      </c>
      <c r="H131" s="7">
        <v>3.0</v>
      </c>
    </row>
    <row r="132">
      <c r="A132" s="6" t="s">
        <v>16</v>
      </c>
      <c r="B132" s="7" t="s">
        <v>0</v>
      </c>
      <c r="C132" s="15">
        <v>0.148</v>
      </c>
      <c r="D132" s="7">
        <v>86.0</v>
      </c>
      <c r="F132" s="24">
        <f t="shared" si="3"/>
        <v>0.06066666667</v>
      </c>
      <c r="H132" s="7">
        <v>1.0</v>
      </c>
    </row>
    <row r="133">
      <c r="A133" s="6" t="s">
        <v>16</v>
      </c>
      <c r="B133" s="7" t="s">
        <v>2</v>
      </c>
      <c r="C133" s="15">
        <v>0.148</v>
      </c>
      <c r="D133" s="7">
        <v>26.0</v>
      </c>
      <c r="F133" s="24">
        <f t="shared" si="3"/>
        <v>0.06066666667</v>
      </c>
      <c r="H133" s="7">
        <v>1.0</v>
      </c>
    </row>
    <row r="134">
      <c r="A134" s="6" t="s">
        <v>16</v>
      </c>
      <c r="B134" s="7" t="s">
        <v>3</v>
      </c>
      <c r="C134" s="10">
        <v>0.216</v>
      </c>
      <c r="D134" s="7">
        <v>30.0</v>
      </c>
      <c r="F134" s="24">
        <f t="shared" si="3"/>
        <v>0.1286666667</v>
      </c>
      <c r="H134" s="7">
        <v>1.0</v>
      </c>
    </row>
    <row r="135">
      <c r="A135" s="6" t="s">
        <v>16</v>
      </c>
      <c r="B135" s="7" t="s">
        <v>0</v>
      </c>
      <c r="C135" s="14">
        <v>0.155</v>
      </c>
      <c r="D135" s="7">
        <v>86.0</v>
      </c>
      <c r="F135" s="24">
        <f t="shared" si="3"/>
        <v>0.06766666667</v>
      </c>
      <c r="H135" s="7">
        <v>2.0</v>
      </c>
    </row>
    <row r="136">
      <c r="A136" s="6" t="s">
        <v>16</v>
      </c>
      <c r="B136" s="7" t="s">
        <v>2</v>
      </c>
      <c r="C136" s="16">
        <v>0.174</v>
      </c>
      <c r="D136" s="7">
        <v>26.0</v>
      </c>
      <c r="F136" s="24">
        <f t="shared" si="3"/>
        <v>0.08666666667</v>
      </c>
      <c r="H136" s="7">
        <v>2.0</v>
      </c>
    </row>
    <row r="137">
      <c r="A137" s="6" t="s">
        <v>16</v>
      </c>
      <c r="B137" s="7" t="s">
        <v>3</v>
      </c>
      <c r="C137" s="13">
        <v>0.181</v>
      </c>
      <c r="D137" s="7">
        <v>30.0</v>
      </c>
      <c r="F137" s="24">
        <f t="shared" si="3"/>
        <v>0.09366666667</v>
      </c>
      <c r="H137" s="7">
        <v>2.0</v>
      </c>
    </row>
    <row r="138">
      <c r="A138" s="6" t="s">
        <v>16</v>
      </c>
      <c r="B138" s="7" t="s">
        <v>0</v>
      </c>
      <c r="C138" s="8">
        <v>0.127</v>
      </c>
      <c r="D138" s="7">
        <v>86.0</v>
      </c>
      <c r="F138" s="24">
        <f t="shared" si="3"/>
        <v>0.03966666667</v>
      </c>
      <c r="H138" s="7">
        <v>3.0</v>
      </c>
    </row>
    <row r="139">
      <c r="A139" s="6" t="s">
        <v>16</v>
      </c>
      <c r="B139" s="7" t="s">
        <v>2</v>
      </c>
      <c r="C139" s="16">
        <v>0.171</v>
      </c>
      <c r="D139" s="7">
        <v>26.0</v>
      </c>
      <c r="F139" s="24">
        <f t="shared" si="3"/>
        <v>0.08366666667</v>
      </c>
      <c r="H139" s="7">
        <v>3.0</v>
      </c>
    </row>
    <row r="140">
      <c r="A140" s="6" t="s">
        <v>16</v>
      </c>
      <c r="B140" s="7" t="s">
        <v>3</v>
      </c>
      <c r="C140" s="16">
        <v>0.169</v>
      </c>
      <c r="D140" s="7">
        <v>30.0</v>
      </c>
      <c r="F140" s="24">
        <f t="shared" si="3"/>
        <v>0.08166666667</v>
      </c>
      <c r="H140" s="7">
        <v>3.0</v>
      </c>
    </row>
    <row r="141">
      <c r="A141" s="6" t="s">
        <v>18</v>
      </c>
      <c r="B141" s="2" t="s">
        <v>0</v>
      </c>
      <c r="C141" s="3">
        <v>0.085</v>
      </c>
      <c r="D141" s="7" t="s">
        <v>39</v>
      </c>
      <c r="E141" s="23">
        <f>AVERAGE(C141,C149,C157)</f>
        <v>0.08633333333</v>
      </c>
      <c r="F141" s="24">
        <f t="shared" ref="F141:F173" si="4">C141-E$141</f>
        <v>-0.001333333333</v>
      </c>
      <c r="H141" s="7">
        <v>1.0</v>
      </c>
    </row>
    <row r="142">
      <c r="A142" s="6" t="s">
        <v>18</v>
      </c>
      <c r="B142" s="2" t="s">
        <v>2</v>
      </c>
      <c r="C142" s="9">
        <v>0.097</v>
      </c>
      <c r="D142" s="7">
        <v>98.0</v>
      </c>
      <c r="F142" s="24">
        <f t="shared" si="4"/>
        <v>0.01066666667</v>
      </c>
      <c r="H142" s="7">
        <v>1.0</v>
      </c>
    </row>
    <row r="143">
      <c r="A143" s="6" t="s">
        <v>18</v>
      </c>
      <c r="B143" s="2" t="s">
        <v>3</v>
      </c>
      <c r="C143" s="9">
        <v>0.097</v>
      </c>
      <c r="D143" s="7">
        <v>103.0</v>
      </c>
      <c r="F143" s="24">
        <f t="shared" si="4"/>
        <v>0.01066666667</v>
      </c>
      <c r="H143" s="7">
        <v>1.0</v>
      </c>
    </row>
    <row r="144">
      <c r="A144" s="6" t="s">
        <v>18</v>
      </c>
      <c r="B144" s="2" t="s">
        <v>4</v>
      </c>
      <c r="C144" s="4">
        <v>0.088</v>
      </c>
      <c r="D144" s="7">
        <v>42.0</v>
      </c>
      <c r="F144" s="24">
        <f t="shared" si="4"/>
        <v>0.001666666667</v>
      </c>
      <c r="H144" s="7">
        <v>1.0</v>
      </c>
    </row>
    <row r="145">
      <c r="A145" s="6" t="s">
        <v>18</v>
      </c>
      <c r="B145" s="2" t="s">
        <v>5</v>
      </c>
      <c r="C145" s="14">
        <v>0.135</v>
      </c>
      <c r="D145" s="7">
        <v>50.0</v>
      </c>
      <c r="F145" s="24">
        <f t="shared" si="4"/>
        <v>0.04866666667</v>
      </c>
      <c r="H145" s="7">
        <v>1.0</v>
      </c>
    </row>
    <row r="146">
      <c r="A146" s="6" t="s">
        <v>18</v>
      </c>
      <c r="B146" s="2" t="s">
        <v>6</v>
      </c>
      <c r="C146" s="4">
        <v>0.092</v>
      </c>
      <c r="D146" s="7">
        <v>57.0</v>
      </c>
      <c r="F146" s="24">
        <f t="shared" si="4"/>
        <v>0.005666666667</v>
      </c>
      <c r="H146" s="7">
        <v>1.0</v>
      </c>
    </row>
    <row r="147">
      <c r="A147" s="6" t="s">
        <v>18</v>
      </c>
      <c r="B147" s="2" t="s">
        <v>7</v>
      </c>
      <c r="C147" s="11">
        <v>0.118</v>
      </c>
      <c r="D147" s="7">
        <v>59.0</v>
      </c>
      <c r="F147" s="24">
        <f t="shared" si="4"/>
        <v>0.03166666667</v>
      </c>
      <c r="H147" s="7">
        <v>1.0</v>
      </c>
    </row>
    <row r="148">
      <c r="A148" s="6" t="s">
        <v>18</v>
      </c>
      <c r="B148" s="2" t="s">
        <v>8</v>
      </c>
      <c r="C148" s="4">
        <v>0.088</v>
      </c>
      <c r="D148" s="7">
        <v>79.0</v>
      </c>
      <c r="F148" s="24">
        <f t="shared" si="4"/>
        <v>0.001666666667</v>
      </c>
      <c r="H148" s="7">
        <v>1.0</v>
      </c>
    </row>
    <row r="149">
      <c r="A149" s="6" t="s">
        <v>18</v>
      </c>
      <c r="B149" s="2" t="s">
        <v>0</v>
      </c>
      <c r="C149" s="3">
        <v>0.087</v>
      </c>
      <c r="D149" s="7" t="s">
        <v>39</v>
      </c>
      <c r="F149" s="24">
        <f t="shared" si="4"/>
        <v>0.0006666666667</v>
      </c>
      <c r="H149" s="7">
        <v>2.0</v>
      </c>
    </row>
    <row r="150">
      <c r="A150" s="6" t="s">
        <v>18</v>
      </c>
      <c r="B150" s="2" t="s">
        <v>2</v>
      </c>
      <c r="C150" s="4">
        <v>0.092</v>
      </c>
      <c r="D150" s="7">
        <v>98.0</v>
      </c>
      <c r="F150" s="24">
        <f t="shared" si="4"/>
        <v>0.005666666667</v>
      </c>
      <c r="H150" s="7">
        <v>2.0</v>
      </c>
    </row>
    <row r="151">
      <c r="A151" s="6" t="s">
        <v>18</v>
      </c>
      <c r="B151" s="2" t="s">
        <v>3</v>
      </c>
      <c r="C151" s="9">
        <v>0.098</v>
      </c>
      <c r="D151" s="7">
        <v>103.0</v>
      </c>
      <c r="F151" s="24">
        <f t="shared" si="4"/>
        <v>0.01166666667</v>
      </c>
      <c r="H151" s="7">
        <v>2.0</v>
      </c>
    </row>
    <row r="152">
      <c r="A152" s="6" t="s">
        <v>18</v>
      </c>
      <c r="B152" s="2" t="s">
        <v>4</v>
      </c>
      <c r="C152" s="4">
        <v>0.089</v>
      </c>
      <c r="D152" s="7">
        <v>42.0</v>
      </c>
      <c r="F152" s="24">
        <f t="shared" si="4"/>
        <v>0.002666666667</v>
      </c>
      <c r="H152" s="7">
        <v>2.0</v>
      </c>
    </row>
    <row r="153">
      <c r="A153" s="6" t="s">
        <v>18</v>
      </c>
      <c r="B153" s="2" t="s">
        <v>5</v>
      </c>
      <c r="C153" s="8">
        <v>0.115</v>
      </c>
      <c r="D153" s="7">
        <v>50.0</v>
      </c>
      <c r="F153" s="24">
        <f t="shared" si="4"/>
        <v>0.02866666667</v>
      </c>
      <c r="H153" s="7">
        <v>2.0</v>
      </c>
    </row>
    <row r="154">
      <c r="A154" s="6" t="s">
        <v>18</v>
      </c>
      <c r="B154" s="2" t="s">
        <v>6</v>
      </c>
      <c r="C154" s="4">
        <v>0.089</v>
      </c>
      <c r="D154" s="7">
        <v>57.0</v>
      </c>
      <c r="F154" s="24">
        <f t="shared" si="4"/>
        <v>0.002666666667</v>
      </c>
      <c r="H154" s="7">
        <v>2.0</v>
      </c>
    </row>
    <row r="155">
      <c r="A155" s="6" t="s">
        <v>18</v>
      </c>
      <c r="B155" s="2" t="s">
        <v>7</v>
      </c>
      <c r="C155" s="4">
        <v>0.091</v>
      </c>
      <c r="D155" s="7">
        <v>59.0</v>
      </c>
      <c r="F155" s="24">
        <f t="shared" si="4"/>
        <v>0.004666666667</v>
      </c>
      <c r="H155" s="7">
        <v>2.0</v>
      </c>
    </row>
    <row r="156">
      <c r="A156" s="6" t="s">
        <v>18</v>
      </c>
      <c r="B156" s="2" t="s">
        <v>8</v>
      </c>
      <c r="C156" s="3">
        <v>0.087</v>
      </c>
      <c r="D156" s="7">
        <v>79.0</v>
      </c>
      <c r="F156" s="24">
        <f t="shared" si="4"/>
        <v>0.0006666666667</v>
      </c>
      <c r="H156" s="7">
        <v>2.0</v>
      </c>
    </row>
    <row r="157">
      <c r="A157" s="6" t="s">
        <v>18</v>
      </c>
      <c r="B157" s="2" t="s">
        <v>0</v>
      </c>
      <c r="C157" s="4">
        <v>0.087</v>
      </c>
      <c r="D157" s="7" t="s">
        <v>39</v>
      </c>
      <c r="F157" s="24">
        <f t="shared" si="4"/>
        <v>0.0006666666667</v>
      </c>
      <c r="H157" s="7">
        <v>3.0</v>
      </c>
    </row>
    <row r="158">
      <c r="A158" s="6" t="s">
        <v>18</v>
      </c>
      <c r="B158" s="2" t="s">
        <v>2</v>
      </c>
      <c r="C158" s="4">
        <v>0.093</v>
      </c>
      <c r="D158" s="7">
        <v>98.0</v>
      </c>
      <c r="F158" s="24">
        <f t="shared" si="4"/>
        <v>0.006666666667</v>
      </c>
      <c r="H158" s="7">
        <v>3.0</v>
      </c>
    </row>
    <row r="159">
      <c r="A159" s="6" t="s">
        <v>18</v>
      </c>
      <c r="B159" s="2" t="s">
        <v>3</v>
      </c>
      <c r="C159" s="4">
        <v>0.092</v>
      </c>
      <c r="D159" s="7">
        <v>103.0</v>
      </c>
      <c r="F159" s="24">
        <f t="shared" si="4"/>
        <v>0.005666666667</v>
      </c>
      <c r="H159" s="7">
        <v>3.0</v>
      </c>
    </row>
    <row r="160">
      <c r="A160" s="6" t="s">
        <v>18</v>
      </c>
      <c r="B160" s="2" t="s">
        <v>4</v>
      </c>
      <c r="C160" s="4">
        <v>0.089</v>
      </c>
      <c r="D160" s="7">
        <v>42.0</v>
      </c>
      <c r="F160" s="24">
        <f t="shared" si="4"/>
        <v>0.002666666667</v>
      </c>
      <c r="H160" s="7">
        <v>3.0</v>
      </c>
    </row>
    <row r="161">
      <c r="A161" s="6" t="s">
        <v>18</v>
      </c>
      <c r="B161" s="2" t="s">
        <v>5</v>
      </c>
      <c r="C161" s="4">
        <v>0.089</v>
      </c>
      <c r="D161" s="7">
        <v>50.0</v>
      </c>
      <c r="F161" s="24">
        <f t="shared" si="4"/>
        <v>0.002666666667</v>
      </c>
      <c r="H161" s="7">
        <v>3.0</v>
      </c>
    </row>
    <row r="162">
      <c r="A162" s="6" t="s">
        <v>18</v>
      </c>
      <c r="B162" s="2" t="s">
        <v>6</v>
      </c>
      <c r="C162" s="4">
        <v>0.093</v>
      </c>
      <c r="D162" s="7">
        <v>57.0</v>
      </c>
      <c r="F162" s="24">
        <f t="shared" si="4"/>
        <v>0.006666666667</v>
      </c>
      <c r="H162" s="7">
        <v>3.0</v>
      </c>
    </row>
    <row r="163">
      <c r="A163" s="6" t="s">
        <v>18</v>
      </c>
      <c r="B163" s="2" t="s">
        <v>7</v>
      </c>
      <c r="C163" s="4">
        <v>0.088</v>
      </c>
      <c r="D163" s="7">
        <v>59.0</v>
      </c>
      <c r="F163" s="24">
        <f t="shared" si="4"/>
        <v>0.001666666667</v>
      </c>
      <c r="H163" s="7">
        <v>3.0</v>
      </c>
    </row>
    <row r="164">
      <c r="A164" s="6" t="s">
        <v>18</v>
      </c>
      <c r="B164" s="2" t="s">
        <v>8</v>
      </c>
      <c r="C164" s="4">
        <v>0.091</v>
      </c>
      <c r="D164" s="7">
        <v>79.0</v>
      </c>
      <c r="F164" s="24">
        <f t="shared" si="4"/>
        <v>0.004666666667</v>
      </c>
      <c r="H164" s="7">
        <v>3.0</v>
      </c>
    </row>
    <row r="165">
      <c r="A165" s="6" t="s">
        <v>18</v>
      </c>
      <c r="B165" s="7" t="s">
        <v>0</v>
      </c>
      <c r="C165" s="4">
        <v>0.09</v>
      </c>
      <c r="D165" s="7">
        <v>86.0</v>
      </c>
      <c r="F165" s="24">
        <f t="shared" si="4"/>
        <v>0.003666666667</v>
      </c>
      <c r="H165" s="7">
        <v>1.0</v>
      </c>
    </row>
    <row r="166">
      <c r="A166" s="6" t="s">
        <v>18</v>
      </c>
      <c r="B166" s="7" t="s">
        <v>2</v>
      </c>
      <c r="C166" s="4">
        <v>0.091</v>
      </c>
      <c r="D166" s="7">
        <v>26.0</v>
      </c>
      <c r="F166" s="24">
        <f t="shared" si="4"/>
        <v>0.004666666667</v>
      </c>
      <c r="H166" s="7">
        <v>1.0</v>
      </c>
    </row>
    <row r="167">
      <c r="A167" s="6" t="s">
        <v>18</v>
      </c>
      <c r="B167" s="7" t="s">
        <v>3</v>
      </c>
      <c r="C167" s="16">
        <v>0.149</v>
      </c>
      <c r="D167" s="7">
        <v>30.0</v>
      </c>
      <c r="F167" s="24">
        <f t="shared" si="4"/>
        <v>0.06266666667</v>
      </c>
      <c r="H167" s="7">
        <v>1.0</v>
      </c>
    </row>
    <row r="168">
      <c r="A168" s="6" t="s">
        <v>18</v>
      </c>
      <c r="B168" s="7" t="s">
        <v>0</v>
      </c>
      <c r="C168" s="4">
        <v>0.09</v>
      </c>
      <c r="D168" s="7">
        <v>86.0</v>
      </c>
      <c r="F168" s="24">
        <f t="shared" si="4"/>
        <v>0.003666666667</v>
      </c>
      <c r="H168" s="7">
        <v>2.0</v>
      </c>
    </row>
    <row r="169">
      <c r="A169" s="6" t="s">
        <v>18</v>
      </c>
      <c r="B169" s="7" t="s">
        <v>2</v>
      </c>
      <c r="C169" s="4">
        <v>0.092</v>
      </c>
      <c r="D169" s="7">
        <v>26.0</v>
      </c>
      <c r="F169" s="24">
        <f t="shared" si="4"/>
        <v>0.005666666667</v>
      </c>
      <c r="H169" s="7">
        <v>2.0</v>
      </c>
    </row>
    <row r="170">
      <c r="A170" s="6" t="s">
        <v>18</v>
      </c>
      <c r="B170" s="7" t="s">
        <v>3</v>
      </c>
      <c r="C170" s="4">
        <v>0.093</v>
      </c>
      <c r="D170" s="7">
        <v>30.0</v>
      </c>
      <c r="F170" s="24">
        <f t="shared" si="4"/>
        <v>0.006666666667</v>
      </c>
      <c r="H170" s="7">
        <v>2.0</v>
      </c>
    </row>
    <row r="171">
      <c r="A171" s="6" t="s">
        <v>18</v>
      </c>
      <c r="B171" s="7" t="s">
        <v>0</v>
      </c>
      <c r="C171" s="3">
        <v>0.086</v>
      </c>
      <c r="D171" s="7">
        <v>86.0</v>
      </c>
      <c r="F171" s="24">
        <f t="shared" si="4"/>
        <v>-0.0003333333333</v>
      </c>
      <c r="H171" s="7">
        <v>3.0</v>
      </c>
    </row>
    <row r="172">
      <c r="A172" s="6" t="s">
        <v>18</v>
      </c>
      <c r="B172" s="7" t="s">
        <v>2</v>
      </c>
      <c r="C172" s="9">
        <v>0.1</v>
      </c>
      <c r="D172" s="7">
        <v>26.0</v>
      </c>
      <c r="F172" s="24">
        <f t="shared" si="4"/>
        <v>0.01366666667</v>
      </c>
      <c r="H172" s="7">
        <v>3.0</v>
      </c>
    </row>
    <row r="173">
      <c r="A173" s="6" t="s">
        <v>18</v>
      </c>
      <c r="B173" s="7" t="s">
        <v>3</v>
      </c>
      <c r="C173" s="4">
        <v>0.092</v>
      </c>
      <c r="D173" s="7">
        <v>30.0</v>
      </c>
      <c r="F173" s="24">
        <f t="shared" si="4"/>
        <v>0.005666666667</v>
      </c>
      <c r="H173" s="7">
        <v>3.0</v>
      </c>
    </row>
    <row r="174">
      <c r="H174" s="7"/>
    </row>
    <row r="175">
      <c r="A175" s="7" t="s">
        <v>40</v>
      </c>
      <c r="B175" s="7" t="s">
        <v>41</v>
      </c>
      <c r="H175" s="7"/>
    </row>
    <row r="176">
      <c r="A176" s="7" t="s">
        <v>42</v>
      </c>
      <c r="B176" s="7" t="s">
        <v>43</v>
      </c>
      <c r="H176" s="7"/>
    </row>
    <row r="177">
      <c r="A177" s="7" t="s">
        <v>44</v>
      </c>
      <c r="B177" s="7" t="s">
        <v>45</v>
      </c>
    </row>
    <row r="178">
      <c r="A178" s="7" t="s">
        <v>46</v>
      </c>
      <c r="B178" s="7" t="s">
        <v>47</v>
      </c>
    </row>
    <row r="179">
      <c r="A179" s="7" t="s">
        <v>48</v>
      </c>
      <c r="B179" s="7" t="s">
        <v>49</v>
      </c>
    </row>
    <row r="181">
      <c r="A181" s="7" t="s">
        <v>50</v>
      </c>
    </row>
    <row r="182">
      <c r="A182" s="7" t="s">
        <v>35</v>
      </c>
      <c r="B182" s="7" t="s">
        <v>38</v>
      </c>
      <c r="C182" s="7" t="s">
        <v>51</v>
      </c>
      <c r="D182" s="7" t="s">
        <v>52</v>
      </c>
      <c r="E182" s="7" t="s">
        <v>53</v>
      </c>
      <c r="F182" s="7" t="s">
        <v>54</v>
      </c>
      <c r="G182" s="7" t="s">
        <v>55</v>
      </c>
    </row>
    <row r="183">
      <c r="A183" s="7" t="s">
        <v>39</v>
      </c>
      <c r="B183" s="7">
        <v>1.0</v>
      </c>
      <c r="C183" s="25">
        <f t="shared" ref="C183:C215" si="5">(0.0604*F42)-(4.5224*F75)+(13.269*F108)-(1.7453*F141)</f>
        <v>-0.01092306667</v>
      </c>
      <c r="D183" s="25">
        <f t="shared" ref="D183:D215" si="6">-(4.1982*F42)+(25.7205*F75)-(7.4096*F108)-(2.7418*F141)</f>
        <v>-0.0065877</v>
      </c>
      <c r="E183" s="26">
        <f t="shared" ref="E183:E215" si="7">(28.4593*F42)-(9.9944*F75)-(1.9344*F108)-(1.8093*F141)</f>
        <v>-0.02295973333</v>
      </c>
      <c r="F183" s="26">
        <f t="shared" ref="F183:F215" si="8">-(0.2007*F42)+(0.0848*F75)-(0.1909*F108)-(12.1302*F141)</f>
        <v>0.01661093333</v>
      </c>
      <c r="G183" s="26">
        <f t="shared" ref="G183:G215" si="9">(24.1209*F42)+(11.2884*F75)+(3.762*F108)+(5.8338*F141)</f>
        <v>-0.056244</v>
      </c>
    </row>
    <row r="184">
      <c r="A184" s="7">
        <v>98.0</v>
      </c>
      <c r="B184" s="7">
        <v>1.0</v>
      </c>
      <c r="C184" s="25">
        <f t="shared" si="5"/>
        <v>1.099184733</v>
      </c>
      <c r="D184" s="25">
        <f t="shared" si="6"/>
        <v>0.0841854</v>
      </c>
      <c r="E184" s="26">
        <f t="shared" si="7"/>
        <v>0.6916397667</v>
      </c>
      <c r="F184" s="26">
        <f t="shared" si="8"/>
        <v>-0.1538066667</v>
      </c>
      <c r="G184" s="26">
        <f t="shared" si="9"/>
        <v>1.9827063</v>
      </c>
    </row>
    <row r="185">
      <c r="A185" s="7">
        <v>103.0</v>
      </c>
      <c r="B185" s="7">
        <v>1.0</v>
      </c>
      <c r="C185" s="25">
        <f t="shared" si="5"/>
        <v>1.328804533</v>
      </c>
      <c r="D185" s="25">
        <f t="shared" si="6"/>
        <v>0.0636091</v>
      </c>
      <c r="E185" s="26">
        <f t="shared" si="7"/>
        <v>0.6618327667</v>
      </c>
      <c r="F185" s="26">
        <f t="shared" si="8"/>
        <v>-0.1574111667</v>
      </c>
      <c r="G185" s="26">
        <f t="shared" si="9"/>
        <v>2.1588681</v>
      </c>
    </row>
    <row r="186">
      <c r="A186" s="7">
        <v>42.0</v>
      </c>
      <c r="B186" s="7">
        <v>1.0</v>
      </c>
      <c r="C186" s="25">
        <f t="shared" si="5"/>
        <v>0.7173432333</v>
      </c>
      <c r="D186" s="25">
        <f t="shared" si="6"/>
        <v>0.0008004</v>
      </c>
      <c r="E186" s="26">
        <f t="shared" si="7"/>
        <v>0.3598157667</v>
      </c>
      <c r="F186" s="26">
        <f t="shared" si="8"/>
        <v>-0.03507416667</v>
      </c>
      <c r="G186" s="26">
        <f t="shared" si="9"/>
        <v>1.08504</v>
      </c>
    </row>
    <row r="187">
      <c r="A187" s="7">
        <v>50.0</v>
      </c>
      <c r="B187" s="7">
        <v>1.0</v>
      </c>
      <c r="C187" s="25">
        <f t="shared" si="5"/>
        <v>0.9035861333</v>
      </c>
      <c r="D187" s="25">
        <f t="shared" si="6"/>
        <v>0.5957473</v>
      </c>
      <c r="E187" s="26">
        <f t="shared" si="7"/>
        <v>1.215287067</v>
      </c>
      <c r="F187" s="26">
        <f t="shared" si="8"/>
        <v>-0.6185167667</v>
      </c>
      <c r="G187" s="26">
        <f t="shared" si="9"/>
        <v>3.2795022</v>
      </c>
    </row>
    <row r="188">
      <c r="A188" s="7">
        <v>57.0</v>
      </c>
      <c r="B188" s="7">
        <v>1.0</v>
      </c>
      <c r="C188" s="25">
        <f t="shared" si="5"/>
        <v>0.5158456333</v>
      </c>
      <c r="D188" s="25">
        <f t="shared" si="6"/>
        <v>0.0264958</v>
      </c>
      <c r="E188" s="26">
        <f t="shared" si="7"/>
        <v>0.2812100667</v>
      </c>
      <c r="F188" s="26">
        <f t="shared" si="8"/>
        <v>-0.07987626667</v>
      </c>
      <c r="G188" s="26">
        <f t="shared" si="9"/>
        <v>0.8824251</v>
      </c>
    </row>
    <row r="189">
      <c r="A189" s="7">
        <v>59.0</v>
      </c>
      <c r="B189" s="7">
        <v>1.0</v>
      </c>
      <c r="C189" s="25">
        <f t="shared" si="5"/>
        <v>1.198930633</v>
      </c>
      <c r="D189" s="25">
        <f t="shared" si="6"/>
        <v>0.3756531</v>
      </c>
      <c r="E189" s="26">
        <f t="shared" si="7"/>
        <v>1.128895867</v>
      </c>
      <c r="F189" s="26">
        <f t="shared" si="8"/>
        <v>-0.4152448667</v>
      </c>
      <c r="G189" s="26">
        <f t="shared" si="9"/>
        <v>3.0597087</v>
      </c>
    </row>
    <row r="190">
      <c r="A190" s="7">
        <v>79.0</v>
      </c>
      <c r="B190" s="7">
        <v>1.0</v>
      </c>
      <c r="C190" s="25">
        <f t="shared" si="5"/>
        <v>0.5096786333</v>
      </c>
      <c r="D190" s="25">
        <f t="shared" si="6"/>
        <v>0.0364762</v>
      </c>
      <c r="E190" s="26">
        <f t="shared" si="7"/>
        <v>0.3473002667</v>
      </c>
      <c r="F190" s="26">
        <f t="shared" si="8"/>
        <v>-0.03156596667</v>
      </c>
      <c r="G190" s="26">
        <f t="shared" si="9"/>
        <v>0.9035697</v>
      </c>
    </row>
    <row r="191">
      <c r="A191" s="7" t="s">
        <v>39</v>
      </c>
      <c r="B191" s="7">
        <v>2.0</v>
      </c>
      <c r="C191" s="25">
        <f t="shared" si="5"/>
        <v>0.01646933333</v>
      </c>
      <c r="D191" s="25">
        <f t="shared" si="6"/>
        <v>0.0087445</v>
      </c>
      <c r="E191" s="26">
        <f t="shared" si="7"/>
        <v>0.004548266667</v>
      </c>
      <c r="F191" s="26">
        <f t="shared" si="8"/>
        <v>-0.008453966667</v>
      </c>
      <c r="G191" s="26">
        <f t="shared" si="9"/>
        <v>0.0375282</v>
      </c>
    </row>
    <row r="192">
      <c r="A192" s="7">
        <v>98.0</v>
      </c>
      <c r="B192" s="7">
        <v>2.0</v>
      </c>
      <c r="C192" s="25">
        <f t="shared" si="5"/>
        <v>0.1929918333</v>
      </c>
      <c r="D192" s="25">
        <f t="shared" si="6"/>
        <v>0.2704112</v>
      </c>
      <c r="E192" s="26">
        <f t="shared" si="7"/>
        <v>0.4849387667</v>
      </c>
      <c r="F192" s="26">
        <f t="shared" si="8"/>
        <v>-0.07655126667</v>
      </c>
      <c r="G192" s="26">
        <f t="shared" si="9"/>
        <v>1.009899</v>
      </c>
    </row>
    <row r="193">
      <c r="A193" s="7">
        <v>103.0</v>
      </c>
      <c r="B193" s="7">
        <v>2.0</v>
      </c>
      <c r="C193" s="25">
        <f t="shared" si="5"/>
        <v>0.2792762333</v>
      </c>
      <c r="D193" s="25">
        <f t="shared" si="6"/>
        <v>0.4175965</v>
      </c>
      <c r="E193" s="26">
        <f t="shared" si="7"/>
        <v>0.5989998667</v>
      </c>
      <c r="F193" s="26">
        <f t="shared" si="8"/>
        <v>-0.1523058667</v>
      </c>
      <c r="G193" s="26">
        <f t="shared" si="9"/>
        <v>1.4275443</v>
      </c>
    </row>
    <row r="194">
      <c r="A194" s="7">
        <v>42.0</v>
      </c>
      <c r="B194" s="7">
        <v>2.0</v>
      </c>
      <c r="C194" s="25">
        <f t="shared" si="5"/>
        <v>0.3125979333</v>
      </c>
      <c r="D194" s="25">
        <f t="shared" si="6"/>
        <v>0.4704981</v>
      </c>
      <c r="E194" s="26">
        <f t="shared" si="7"/>
        <v>0.6483445667</v>
      </c>
      <c r="F194" s="26">
        <f t="shared" si="8"/>
        <v>-0.04374766667</v>
      </c>
      <c r="G194" s="26">
        <f t="shared" si="9"/>
        <v>1.4533827</v>
      </c>
    </row>
    <row r="195">
      <c r="A195" s="7">
        <v>50.0</v>
      </c>
      <c r="B195" s="7">
        <v>2.0</v>
      </c>
      <c r="C195" s="25">
        <f t="shared" si="5"/>
        <v>0.3469059333</v>
      </c>
      <c r="D195" s="25">
        <f t="shared" si="6"/>
        <v>0.4968382</v>
      </c>
      <c r="E195" s="26">
        <f t="shared" si="7"/>
        <v>0.9492923667</v>
      </c>
      <c r="F195" s="26">
        <f t="shared" si="8"/>
        <v>-0.3632989667</v>
      </c>
      <c r="G195" s="26">
        <f t="shared" si="9"/>
        <v>2.1264495</v>
      </c>
    </row>
    <row r="196">
      <c r="A196" s="7">
        <v>57.0</v>
      </c>
      <c r="B196" s="7">
        <v>2.0</v>
      </c>
      <c r="C196" s="25">
        <f t="shared" si="5"/>
        <v>0.1892395333</v>
      </c>
      <c r="D196" s="25">
        <f t="shared" si="6"/>
        <v>0.2771185</v>
      </c>
      <c r="E196" s="26">
        <f t="shared" si="7"/>
        <v>0.3884582667</v>
      </c>
      <c r="F196" s="26">
        <f t="shared" si="8"/>
        <v>-0.03925176667</v>
      </c>
      <c r="G196" s="26">
        <f t="shared" si="9"/>
        <v>0.8808636</v>
      </c>
    </row>
    <row r="197">
      <c r="A197" s="7">
        <v>59.0</v>
      </c>
      <c r="B197" s="7">
        <v>2.0</v>
      </c>
      <c r="C197" s="25">
        <f t="shared" si="5"/>
        <v>0.2651327333</v>
      </c>
      <c r="D197" s="25">
        <f t="shared" si="6"/>
        <v>0.3902528</v>
      </c>
      <c r="E197" s="26">
        <f t="shared" si="7"/>
        <v>0.5905327667</v>
      </c>
      <c r="F197" s="26">
        <f t="shared" si="8"/>
        <v>-0.06667476667</v>
      </c>
      <c r="G197" s="26">
        <f t="shared" si="9"/>
        <v>1.2933147</v>
      </c>
    </row>
    <row r="198">
      <c r="A198" s="7">
        <v>79.0</v>
      </c>
      <c r="B198" s="7">
        <v>2.0</v>
      </c>
      <c r="C198" s="25">
        <f t="shared" si="5"/>
        <v>0.1577437333</v>
      </c>
      <c r="D198" s="25">
        <f t="shared" si="6"/>
        <v>0.2093585</v>
      </c>
      <c r="E198" s="26">
        <f t="shared" si="7"/>
        <v>0.4397920667</v>
      </c>
      <c r="F198" s="26">
        <f t="shared" si="8"/>
        <v>-0.01456696667</v>
      </c>
      <c r="G198" s="26">
        <f t="shared" si="9"/>
        <v>0.8089944</v>
      </c>
    </row>
    <row r="199">
      <c r="A199" s="7" t="s">
        <v>39</v>
      </c>
      <c r="B199" s="7">
        <v>3.0</v>
      </c>
      <c r="C199" s="25">
        <f t="shared" si="5"/>
        <v>-0.005546266667</v>
      </c>
      <c r="D199" s="25">
        <f t="shared" si="6"/>
        <v>-0.0021568</v>
      </c>
      <c r="E199" s="26">
        <f t="shared" si="7"/>
        <v>0.01841146667</v>
      </c>
      <c r="F199" s="26">
        <f t="shared" si="8"/>
        <v>-0.008156966667</v>
      </c>
      <c r="G199" s="26">
        <f t="shared" si="9"/>
        <v>0.0187158</v>
      </c>
    </row>
    <row r="200">
      <c r="A200" s="7">
        <v>98.0</v>
      </c>
      <c r="B200" s="7">
        <v>3.0</v>
      </c>
      <c r="C200" s="25">
        <f t="shared" si="5"/>
        <v>0.9382441333</v>
      </c>
      <c r="D200" s="25">
        <f t="shared" si="6"/>
        <v>0.0640369</v>
      </c>
      <c r="E200" s="26">
        <f t="shared" si="7"/>
        <v>0.5417200667</v>
      </c>
      <c r="F200" s="26">
        <f t="shared" si="8"/>
        <v>-0.1012096667</v>
      </c>
      <c r="G200" s="26">
        <f t="shared" si="9"/>
        <v>1.6068342</v>
      </c>
    </row>
    <row r="201">
      <c r="A201" s="7">
        <v>103.0</v>
      </c>
      <c r="B201" s="7">
        <v>3.0</v>
      </c>
      <c r="C201" s="25">
        <f t="shared" si="5"/>
        <v>0.8692352333</v>
      </c>
      <c r="D201" s="25">
        <f t="shared" si="6"/>
        <v>0.023629</v>
      </c>
      <c r="E201" s="26">
        <f t="shared" si="7"/>
        <v>0.3793677667</v>
      </c>
      <c r="F201" s="26">
        <f t="shared" si="8"/>
        <v>-0.08656156667</v>
      </c>
      <c r="G201" s="26">
        <f t="shared" si="9"/>
        <v>1.3252572</v>
      </c>
    </row>
    <row r="202">
      <c r="A202" s="7">
        <v>42.0</v>
      </c>
      <c r="B202" s="7">
        <v>3.0</v>
      </c>
      <c r="C202" s="25">
        <f t="shared" si="5"/>
        <v>0.8083035333</v>
      </c>
      <c r="D202" s="25">
        <f t="shared" si="6"/>
        <v>0.0075469</v>
      </c>
      <c r="E202" s="26">
        <f t="shared" si="7"/>
        <v>0.3694666667</v>
      </c>
      <c r="F202" s="26">
        <f t="shared" si="8"/>
        <v>-0.04887856667</v>
      </c>
      <c r="G202" s="26">
        <f t="shared" si="9"/>
        <v>1.2030768</v>
      </c>
    </row>
    <row r="203">
      <c r="A203" s="7">
        <v>50.0</v>
      </c>
      <c r="B203" s="7">
        <v>3.0</v>
      </c>
      <c r="C203" s="25">
        <f t="shared" si="5"/>
        <v>0.5123387333</v>
      </c>
      <c r="D203" s="25">
        <f t="shared" si="6"/>
        <v>0.0651712</v>
      </c>
      <c r="E203" s="26">
        <f t="shared" si="7"/>
        <v>0.4089456667</v>
      </c>
      <c r="F203" s="26">
        <f t="shared" si="8"/>
        <v>-0.04431956667</v>
      </c>
      <c r="G203" s="26">
        <f t="shared" si="9"/>
        <v>1.008105</v>
      </c>
    </row>
    <row r="204">
      <c r="A204" s="7">
        <v>57.0</v>
      </c>
      <c r="B204" s="7">
        <v>3.0</v>
      </c>
      <c r="C204" s="25">
        <f t="shared" si="5"/>
        <v>0.6242425333</v>
      </c>
      <c r="D204" s="25">
        <f t="shared" si="6"/>
        <v>0.1228232</v>
      </c>
      <c r="E204" s="26">
        <f t="shared" si="7"/>
        <v>0.3489229667</v>
      </c>
      <c r="F204" s="26">
        <f t="shared" si="8"/>
        <v>-0.09463216667</v>
      </c>
      <c r="G204" s="26">
        <f t="shared" si="9"/>
        <v>1.1646735</v>
      </c>
    </row>
    <row r="205">
      <c r="A205" s="7">
        <v>59.0</v>
      </c>
      <c r="B205" s="7">
        <v>3.0</v>
      </c>
      <c r="C205" s="25">
        <f t="shared" si="5"/>
        <v>0.7172866333</v>
      </c>
      <c r="D205" s="25">
        <f t="shared" si="6"/>
        <v>0.0537595</v>
      </c>
      <c r="E205" s="26">
        <f t="shared" si="7"/>
        <v>0.4417353667</v>
      </c>
      <c r="F205" s="26">
        <f t="shared" si="8"/>
        <v>-0.03581346667</v>
      </c>
      <c r="G205" s="26">
        <f t="shared" si="9"/>
        <v>1.2191508</v>
      </c>
    </row>
    <row r="206">
      <c r="A206" s="7">
        <v>79.0</v>
      </c>
      <c r="B206" s="7">
        <v>3.0</v>
      </c>
      <c r="C206" s="25">
        <f t="shared" si="5"/>
        <v>0.6546901333</v>
      </c>
      <c r="D206" s="25">
        <f t="shared" si="6"/>
        <v>0.0353393</v>
      </c>
      <c r="E206" s="26">
        <f t="shared" si="7"/>
        <v>0.4375089667</v>
      </c>
      <c r="F206" s="26">
        <f t="shared" si="8"/>
        <v>-0.07121846667</v>
      </c>
      <c r="G206" s="26">
        <f t="shared" si="9"/>
        <v>1.1711445</v>
      </c>
    </row>
    <row r="207">
      <c r="A207" s="7">
        <v>86.0</v>
      </c>
      <c r="B207" s="7">
        <v>1.0</v>
      </c>
      <c r="C207" s="25">
        <f t="shared" si="5"/>
        <v>0.6829168333</v>
      </c>
      <c r="D207" s="25">
        <f t="shared" si="6"/>
        <v>0.076221</v>
      </c>
      <c r="E207" s="26">
        <f t="shared" si="7"/>
        <v>0.5173690667</v>
      </c>
      <c r="F207" s="26">
        <f t="shared" si="8"/>
        <v>-0.06020936667</v>
      </c>
      <c r="G207" s="26">
        <f t="shared" si="9"/>
        <v>1.3069455</v>
      </c>
    </row>
    <row r="208">
      <c r="A208" s="7">
        <v>26.0</v>
      </c>
      <c r="B208" s="7">
        <v>1.0</v>
      </c>
      <c r="C208" s="25">
        <f t="shared" si="5"/>
        <v>0.6992007333</v>
      </c>
      <c r="D208" s="25">
        <f t="shared" si="6"/>
        <v>-0.0252046</v>
      </c>
      <c r="E208" s="26">
        <f t="shared" si="7"/>
        <v>0.5270780667</v>
      </c>
      <c r="F208" s="26">
        <f t="shared" si="8"/>
        <v>-0.07247806667</v>
      </c>
      <c r="G208" s="26">
        <f t="shared" si="9"/>
        <v>1.2435048</v>
      </c>
    </row>
    <row r="209">
      <c r="A209" s="7">
        <v>30.0</v>
      </c>
      <c r="B209" s="7">
        <v>1.0</v>
      </c>
      <c r="C209" s="25">
        <f t="shared" si="5"/>
        <v>1.231941333</v>
      </c>
      <c r="D209" s="25">
        <f t="shared" si="6"/>
        <v>0.6452382</v>
      </c>
      <c r="E209" s="26">
        <f t="shared" si="7"/>
        <v>1.113900467</v>
      </c>
      <c r="F209" s="26">
        <f t="shared" si="8"/>
        <v>-0.7939578667</v>
      </c>
      <c r="G209" s="26">
        <f t="shared" si="9"/>
        <v>3.7210302</v>
      </c>
    </row>
    <row r="210">
      <c r="A210" s="7">
        <v>86.0</v>
      </c>
      <c r="B210" s="7">
        <v>2.0</v>
      </c>
      <c r="C210" s="25">
        <f t="shared" si="5"/>
        <v>0.7624742333</v>
      </c>
      <c r="D210" s="25">
        <f t="shared" si="6"/>
        <v>0.0847225</v>
      </c>
      <c r="E210" s="26">
        <f t="shared" si="7"/>
        <v>0.5876822667</v>
      </c>
      <c r="F210" s="26">
        <f t="shared" si="8"/>
        <v>-0.06209406667</v>
      </c>
      <c r="G210" s="26">
        <f t="shared" si="9"/>
        <v>1.4636283</v>
      </c>
    </row>
    <row r="211">
      <c r="A211" s="7">
        <v>26.0</v>
      </c>
      <c r="B211" s="7">
        <v>2.0</v>
      </c>
      <c r="C211" s="25">
        <f t="shared" si="5"/>
        <v>1.006270233</v>
      </c>
      <c r="D211" s="25">
        <f t="shared" si="6"/>
        <v>-0.014832</v>
      </c>
      <c r="E211" s="26">
        <f t="shared" si="7"/>
        <v>0.3950191667</v>
      </c>
      <c r="F211" s="26">
        <f t="shared" si="8"/>
        <v>-0.08889326667</v>
      </c>
      <c r="G211" s="26">
        <f t="shared" si="9"/>
        <v>1.4374578</v>
      </c>
    </row>
    <row r="212">
      <c r="A212" s="7">
        <v>30.0</v>
      </c>
      <c r="B212" s="7">
        <v>2.0</v>
      </c>
      <c r="C212" s="25">
        <f t="shared" si="5"/>
        <v>1.079620333</v>
      </c>
      <c r="D212" s="25">
        <f t="shared" si="6"/>
        <v>0.01245</v>
      </c>
      <c r="E212" s="26">
        <f t="shared" si="7"/>
        <v>0.4819879667</v>
      </c>
      <c r="F212" s="26">
        <f t="shared" si="8"/>
        <v>-0.1030240667</v>
      </c>
      <c r="G212" s="26">
        <f t="shared" si="9"/>
        <v>1.6353837</v>
      </c>
    </row>
    <row r="213">
      <c r="A213" s="7">
        <v>86.0</v>
      </c>
      <c r="B213" s="7">
        <v>3.0</v>
      </c>
      <c r="C213" s="25">
        <f t="shared" si="5"/>
        <v>0.4602706333</v>
      </c>
      <c r="D213" s="25">
        <f t="shared" si="6"/>
        <v>0.0102427</v>
      </c>
      <c r="E213" s="26">
        <f t="shared" si="7"/>
        <v>0.3336554667</v>
      </c>
      <c r="F213" s="26">
        <f t="shared" si="8"/>
        <v>-0.006204066667</v>
      </c>
      <c r="G213" s="26">
        <f t="shared" si="9"/>
        <v>0.7909851</v>
      </c>
    </row>
    <row r="214">
      <c r="A214" s="7">
        <v>26.0</v>
      </c>
      <c r="B214" s="7">
        <v>3.0</v>
      </c>
      <c r="C214" s="25">
        <f t="shared" si="5"/>
        <v>0.9301304333</v>
      </c>
      <c r="D214" s="25">
        <f t="shared" si="6"/>
        <v>0.0972721</v>
      </c>
      <c r="E214" s="26">
        <f t="shared" si="7"/>
        <v>0.4502131667</v>
      </c>
      <c r="F214" s="26">
        <f t="shared" si="8"/>
        <v>-0.1857409667</v>
      </c>
      <c r="G214" s="26">
        <f t="shared" si="9"/>
        <v>1.6257678</v>
      </c>
    </row>
    <row r="215">
      <c r="A215" s="7">
        <v>30.0</v>
      </c>
      <c r="B215" s="7">
        <v>3.0</v>
      </c>
      <c r="C215" s="25">
        <f t="shared" si="5"/>
        <v>0.9445684333</v>
      </c>
      <c r="D215" s="25">
        <f t="shared" si="6"/>
        <v>-0.0119009</v>
      </c>
      <c r="E215" s="26">
        <f t="shared" si="7"/>
        <v>0.4716041667</v>
      </c>
      <c r="F215" s="26">
        <f t="shared" si="8"/>
        <v>-0.08842496667</v>
      </c>
      <c r="G215" s="26">
        <f t="shared" si="9"/>
        <v>1.4556012</v>
      </c>
    </row>
    <row r="216">
      <c r="A216" s="7" t="s">
        <v>56</v>
      </c>
    </row>
    <row r="217">
      <c r="A217" s="7" t="s">
        <v>35</v>
      </c>
      <c r="B217" s="7" t="s">
        <v>57</v>
      </c>
      <c r="C217" s="7" t="s">
        <v>58</v>
      </c>
      <c r="D217" s="7" t="s">
        <v>59</v>
      </c>
      <c r="E217" s="7" t="s">
        <v>60</v>
      </c>
      <c r="F217" s="7" t="s">
        <v>61</v>
      </c>
    </row>
    <row r="218">
      <c r="A218" s="7" t="s">
        <v>39</v>
      </c>
      <c r="B218" s="26">
        <f t="shared" ref="B218:F218" si="10">AVERAGE(C183,C191,C199)</f>
        <v>0</v>
      </c>
      <c r="C218" s="26">
        <f t="shared" si="10"/>
        <v>0</v>
      </c>
      <c r="D218" s="26">
        <f t="shared" si="10"/>
        <v>0</v>
      </c>
      <c r="E218" s="26">
        <f t="shared" si="10"/>
        <v>0</v>
      </c>
      <c r="F218" s="26">
        <f t="shared" si="10"/>
        <v>0</v>
      </c>
    </row>
    <row r="219">
      <c r="A219" s="7">
        <v>98.0</v>
      </c>
      <c r="B219" s="26">
        <f t="shared" ref="B219:F219" si="11">AVERAGE(C184,C192,C200)</f>
        <v>0.7434735667</v>
      </c>
      <c r="C219" s="26">
        <f t="shared" si="11"/>
        <v>0.1395445</v>
      </c>
      <c r="D219" s="26">
        <f t="shared" si="11"/>
        <v>0.5727662</v>
      </c>
      <c r="E219" s="26">
        <f t="shared" si="11"/>
        <v>-0.1105225333</v>
      </c>
      <c r="F219" s="26">
        <f t="shared" si="11"/>
        <v>1.5331465</v>
      </c>
    </row>
    <row r="220">
      <c r="A220" s="7">
        <v>103.0</v>
      </c>
      <c r="B220" s="26">
        <f t="shared" ref="B220:F220" si="12">AVERAGE(C185,C193,C201)</f>
        <v>0.825772</v>
      </c>
      <c r="C220" s="26">
        <f t="shared" si="12"/>
        <v>0.1682782</v>
      </c>
      <c r="D220" s="26">
        <f t="shared" si="12"/>
        <v>0.5467334667</v>
      </c>
      <c r="E220" s="26">
        <f t="shared" si="12"/>
        <v>-0.1320928667</v>
      </c>
      <c r="F220" s="26">
        <f t="shared" si="12"/>
        <v>1.6372232</v>
      </c>
    </row>
    <row r="221">
      <c r="A221" s="7">
        <v>42.0</v>
      </c>
      <c r="B221" s="26">
        <f t="shared" ref="B221:F221" si="13">AVERAGE(C186,C194,C202)</f>
        <v>0.6127482333</v>
      </c>
      <c r="C221" s="26">
        <f t="shared" si="13"/>
        <v>0.1596151333</v>
      </c>
      <c r="D221" s="26">
        <f t="shared" si="13"/>
        <v>0.459209</v>
      </c>
      <c r="E221" s="26">
        <f t="shared" si="13"/>
        <v>-0.0425668</v>
      </c>
      <c r="F221" s="26">
        <f t="shared" si="13"/>
        <v>1.2471665</v>
      </c>
    </row>
    <row r="222">
      <c r="A222" s="7">
        <v>50.0</v>
      </c>
      <c r="B222" s="26">
        <f t="shared" ref="B222:F222" si="14">AVERAGE(C187,C195,C203)</f>
        <v>0.5876102667</v>
      </c>
      <c r="C222" s="26">
        <f t="shared" si="14"/>
        <v>0.3859189</v>
      </c>
      <c r="D222" s="26">
        <f t="shared" si="14"/>
        <v>0.8578417</v>
      </c>
      <c r="E222" s="26">
        <f t="shared" si="14"/>
        <v>-0.3420451</v>
      </c>
      <c r="F222" s="26">
        <f t="shared" si="14"/>
        <v>2.1380189</v>
      </c>
    </row>
    <row r="223">
      <c r="A223" s="7">
        <v>57.0</v>
      </c>
      <c r="B223" s="26">
        <f t="shared" ref="B223:F223" si="15">AVERAGE(C188,C196,C204)</f>
        <v>0.4431092333</v>
      </c>
      <c r="C223" s="26">
        <f t="shared" si="15"/>
        <v>0.1421458333</v>
      </c>
      <c r="D223" s="26">
        <f t="shared" si="15"/>
        <v>0.3395304333</v>
      </c>
      <c r="E223" s="26">
        <f t="shared" si="15"/>
        <v>-0.0712534</v>
      </c>
      <c r="F223" s="26">
        <f t="shared" si="15"/>
        <v>0.9759874</v>
      </c>
    </row>
    <row r="224">
      <c r="A224" s="7">
        <v>59.0</v>
      </c>
      <c r="B224" s="26">
        <f t="shared" ref="B224:F224" si="16">AVERAGE(C189,C197,C205)</f>
        <v>0.7271166667</v>
      </c>
      <c r="C224" s="26">
        <f t="shared" si="16"/>
        <v>0.2732218</v>
      </c>
      <c r="D224" s="26">
        <f t="shared" si="16"/>
        <v>0.720388</v>
      </c>
      <c r="E224" s="26">
        <f t="shared" si="16"/>
        <v>-0.1725777</v>
      </c>
      <c r="F224" s="26">
        <f t="shared" si="16"/>
        <v>1.8573914</v>
      </c>
    </row>
    <row r="225">
      <c r="A225" s="7">
        <v>79.0</v>
      </c>
      <c r="B225" s="26">
        <f t="shared" ref="B225:F225" si="17">AVERAGE(C190,C198,C206)</f>
        <v>0.4407041667</v>
      </c>
      <c r="C225" s="26">
        <f t="shared" si="17"/>
        <v>0.09372466667</v>
      </c>
      <c r="D225" s="26">
        <f t="shared" si="17"/>
        <v>0.4082004333</v>
      </c>
      <c r="E225" s="26">
        <f t="shared" si="17"/>
        <v>-0.03911713333</v>
      </c>
      <c r="F225" s="26">
        <f t="shared" si="17"/>
        <v>0.9612362</v>
      </c>
    </row>
    <row r="226">
      <c r="A226" s="7">
        <v>86.0</v>
      </c>
      <c r="B226" s="26">
        <f t="shared" ref="B226:E226" si="18">AVERAGE(C207,C210,C213)</f>
        <v>0.6352205667</v>
      </c>
      <c r="C226" s="26">
        <f t="shared" si="18"/>
        <v>0.05706206667</v>
      </c>
      <c r="D226" s="26">
        <f t="shared" si="18"/>
        <v>0.4795689333</v>
      </c>
      <c r="E226" s="26">
        <f t="shared" si="18"/>
        <v>-0.04283583333</v>
      </c>
      <c r="F226" s="26">
        <f t="shared" ref="F226:F228" si="20">AVERAGE(G191,G199,G207)</f>
        <v>0.4543965</v>
      </c>
    </row>
    <row r="227">
      <c r="A227" s="7">
        <v>26.0</v>
      </c>
      <c r="B227" s="26">
        <f t="shared" ref="B227:E227" si="19">AVERAGE(C208,C211,C214)</f>
        <v>0.8785338</v>
      </c>
      <c r="C227" s="26">
        <f t="shared" si="19"/>
        <v>0.0190785</v>
      </c>
      <c r="D227" s="26">
        <f t="shared" si="19"/>
        <v>0.4574368</v>
      </c>
      <c r="E227" s="26">
        <f t="shared" si="19"/>
        <v>-0.1157041</v>
      </c>
      <c r="F227" s="26">
        <f t="shared" si="20"/>
        <v>1.286746</v>
      </c>
    </row>
    <row r="228">
      <c r="A228" s="7">
        <v>30.0</v>
      </c>
      <c r="B228" s="26">
        <f t="shared" ref="B228:E228" si="21">AVERAGE(C209,C212,C215)</f>
        <v>1.0853767</v>
      </c>
      <c r="C228" s="26">
        <f t="shared" si="21"/>
        <v>0.2152624333</v>
      </c>
      <c r="D228" s="26">
        <f t="shared" si="21"/>
        <v>0.6891642</v>
      </c>
      <c r="E228" s="26">
        <f t="shared" si="21"/>
        <v>-0.3284689667</v>
      </c>
      <c r="F228" s="26">
        <f t="shared" si="20"/>
        <v>2.1579439</v>
      </c>
    </row>
    <row r="230">
      <c r="A230" s="7" t="s">
        <v>62</v>
      </c>
    </row>
    <row r="231">
      <c r="A231" s="7" t="s">
        <v>35</v>
      </c>
      <c r="B231" s="7" t="s">
        <v>63</v>
      </c>
      <c r="C231" s="7" t="s">
        <v>64</v>
      </c>
      <c r="D231" s="7" t="s">
        <v>65</v>
      </c>
      <c r="E231" s="7" t="s">
        <v>66</v>
      </c>
      <c r="F231" s="7" t="s">
        <v>67</v>
      </c>
    </row>
    <row r="232">
      <c r="A232" s="7" t="s">
        <v>39</v>
      </c>
      <c r="B232" s="23">
        <f t="shared" ref="B232:F232" si="22">B218*(0.35)</f>
        <v>0</v>
      </c>
      <c r="C232" s="23">
        <f t="shared" si="22"/>
        <v>0</v>
      </c>
      <c r="D232" s="23">
        <f t="shared" si="22"/>
        <v>0</v>
      </c>
      <c r="E232" s="23">
        <f t="shared" si="22"/>
        <v>0</v>
      </c>
      <c r="F232" s="23">
        <f t="shared" si="22"/>
        <v>0</v>
      </c>
    </row>
    <row r="233">
      <c r="A233" s="7">
        <v>98.0</v>
      </c>
      <c r="B233" s="23">
        <f t="shared" ref="B233:F233" si="23">B219*(0.35)</f>
        <v>0.2602157483</v>
      </c>
      <c r="C233" s="23">
        <f t="shared" si="23"/>
        <v>0.048840575</v>
      </c>
      <c r="D233" s="23">
        <f t="shared" si="23"/>
        <v>0.20046817</v>
      </c>
      <c r="E233" s="23">
        <f t="shared" si="23"/>
        <v>-0.03868288667</v>
      </c>
      <c r="F233" s="23">
        <f t="shared" si="23"/>
        <v>0.536601275</v>
      </c>
    </row>
    <row r="234">
      <c r="A234" s="7">
        <v>103.0</v>
      </c>
      <c r="B234" s="23">
        <f t="shared" ref="B234:F234" si="24">B220*(0.35)</f>
        <v>0.2890202</v>
      </c>
      <c r="C234" s="23">
        <f t="shared" si="24"/>
        <v>0.05889737</v>
      </c>
      <c r="D234" s="23">
        <f t="shared" si="24"/>
        <v>0.1913567133</v>
      </c>
      <c r="E234" s="23">
        <f t="shared" si="24"/>
        <v>-0.04623250333</v>
      </c>
      <c r="F234" s="23">
        <f t="shared" si="24"/>
        <v>0.57302812</v>
      </c>
    </row>
    <row r="235">
      <c r="A235" s="7">
        <v>42.0</v>
      </c>
      <c r="B235" s="23">
        <f t="shared" ref="B235:F235" si="25">B221*(0.35)</f>
        <v>0.2144618817</v>
      </c>
      <c r="C235" s="23">
        <f t="shared" si="25"/>
        <v>0.05586529667</v>
      </c>
      <c r="D235" s="23">
        <f t="shared" si="25"/>
        <v>0.16072315</v>
      </c>
      <c r="E235" s="23">
        <f t="shared" si="25"/>
        <v>-0.01489838</v>
      </c>
      <c r="F235" s="23">
        <f t="shared" si="25"/>
        <v>0.436508275</v>
      </c>
    </row>
    <row r="236">
      <c r="A236" s="7">
        <v>50.0</v>
      </c>
      <c r="B236" s="23">
        <f t="shared" ref="B236:F236" si="26">B222*(0.35)</f>
        <v>0.2056635933</v>
      </c>
      <c r="C236" s="23">
        <f t="shared" si="26"/>
        <v>0.135071615</v>
      </c>
      <c r="D236" s="23">
        <f t="shared" si="26"/>
        <v>0.300244595</v>
      </c>
      <c r="E236" s="23">
        <f t="shared" si="26"/>
        <v>-0.119715785</v>
      </c>
      <c r="F236" s="23">
        <f t="shared" si="26"/>
        <v>0.748306615</v>
      </c>
    </row>
    <row r="237">
      <c r="A237" s="7">
        <v>57.0</v>
      </c>
      <c r="B237" s="23">
        <f t="shared" ref="B237:F237" si="27">B223*(0.35)</f>
        <v>0.1550882317</v>
      </c>
      <c r="C237" s="23">
        <f t="shared" si="27"/>
        <v>0.04975104167</v>
      </c>
      <c r="D237" s="23">
        <f t="shared" si="27"/>
        <v>0.1188356517</v>
      </c>
      <c r="E237" s="23">
        <f t="shared" si="27"/>
        <v>-0.02493869</v>
      </c>
      <c r="F237" s="23">
        <f t="shared" si="27"/>
        <v>0.34159559</v>
      </c>
    </row>
    <row r="238">
      <c r="A238" s="7">
        <v>59.0</v>
      </c>
      <c r="B238" s="23">
        <f t="shared" ref="B238:F238" si="28">B224*(0.35)</f>
        <v>0.2544908333</v>
      </c>
      <c r="C238" s="23">
        <f t="shared" si="28"/>
        <v>0.09562763</v>
      </c>
      <c r="D238" s="23">
        <f t="shared" si="28"/>
        <v>0.2521358</v>
      </c>
      <c r="E238" s="23">
        <f t="shared" si="28"/>
        <v>-0.060402195</v>
      </c>
      <c r="F238" s="23">
        <f t="shared" si="28"/>
        <v>0.65008699</v>
      </c>
    </row>
    <row r="239">
      <c r="A239" s="7">
        <v>79.0</v>
      </c>
      <c r="B239" s="23">
        <f t="shared" ref="B239:F239" si="29">B225*(0.35)</f>
        <v>0.1542464583</v>
      </c>
      <c r="C239" s="23">
        <f t="shared" si="29"/>
        <v>0.03280363333</v>
      </c>
      <c r="D239" s="23">
        <f t="shared" si="29"/>
        <v>0.1428701517</v>
      </c>
      <c r="E239" s="23">
        <f t="shared" si="29"/>
        <v>-0.01369099667</v>
      </c>
      <c r="F239" s="23">
        <f t="shared" si="29"/>
        <v>0.33643267</v>
      </c>
    </row>
    <row r="240">
      <c r="A240" s="7">
        <v>86.0</v>
      </c>
      <c r="B240" s="23">
        <f t="shared" ref="B240:F240" si="30">B226*(0.35)</f>
        <v>0.2223271983</v>
      </c>
      <c r="C240" s="23">
        <f t="shared" si="30"/>
        <v>0.01997172333</v>
      </c>
      <c r="D240" s="23">
        <f t="shared" si="30"/>
        <v>0.1678491267</v>
      </c>
      <c r="E240" s="23">
        <f t="shared" si="30"/>
        <v>-0.01499254167</v>
      </c>
      <c r="F240" s="23">
        <f t="shared" si="30"/>
        <v>0.159038775</v>
      </c>
    </row>
    <row r="241">
      <c r="A241" s="7">
        <v>26.0</v>
      </c>
      <c r="B241" s="23">
        <f t="shared" ref="B241:F241" si="31">B227*(0.35)</f>
        <v>0.30748683</v>
      </c>
      <c r="C241" s="23">
        <f t="shared" si="31"/>
        <v>0.006677475</v>
      </c>
      <c r="D241" s="23">
        <f t="shared" si="31"/>
        <v>0.16010288</v>
      </c>
      <c r="E241" s="23">
        <f t="shared" si="31"/>
        <v>-0.040496435</v>
      </c>
      <c r="F241" s="23">
        <f t="shared" si="31"/>
        <v>0.4503611</v>
      </c>
    </row>
    <row r="242">
      <c r="A242" s="7">
        <v>30.0</v>
      </c>
      <c r="B242" s="23">
        <f t="shared" ref="B242:F242" si="32">B228*(0.35)</f>
        <v>0.379881845</v>
      </c>
      <c r="C242" s="23">
        <f t="shared" si="32"/>
        <v>0.07534185167</v>
      </c>
      <c r="D242" s="23">
        <f t="shared" si="32"/>
        <v>0.24120747</v>
      </c>
      <c r="E242" s="23">
        <f t="shared" si="32"/>
        <v>-0.1149641383</v>
      </c>
      <c r="F242" s="23">
        <f t="shared" si="32"/>
        <v>0.755280365</v>
      </c>
    </row>
    <row r="244">
      <c r="A244" s="7" t="s">
        <v>68</v>
      </c>
    </row>
    <row r="245">
      <c r="A245" s="7" t="s">
        <v>35</v>
      </c>
      <c r="B245" s="7" t="s">
        <v>51</v>
      </c>
      <c r="C245" s="7" t="s">
        <v>52</v>
      </c>
      <c r="D245" s="7" t="s">
        <v>53</v>
      </c>
      <c r="E245" s="7" t="s">
        <v>54</v>
      </c>
      <c r="F245" s="7" t="s">
        <v>69</v>
      </c>
    </row>
    <row r="246">
      <c r="A246" s="7" t="s">
        <v>39</v>
      </c>
      <c r="B246" s="7">
        <v>0.0</v>
      </c>
      <c r="C246" s="7">
        <v>0.0</v>
      </c>
      <c r="D246" s="7">
        <v>0.0</v>
      </c>
      <c r="E246" s="7">
        <v>0.0</v>
      </c>
      <c r="F246" s="7">
        <v>0.0</v>
      </c>
    </row>
    <row r="247">
      <c r="A247" s="7">
        <v>98.0</v>
      </c>
      <c r="B247" s="23">
        <f>B233/'Surface Area'!B5</f>
        <v>0.1198687276</v>
      </c>
      <c r="C247" s="23">
        <f>C233/'Surface Area'!B5</f>
        <v>0.02249847528</v>
      </c>
      <c r="D247" s="23">
        <f>D233/'Surface Area'!B5</f>
        <v>0.09234592686</v>
      </c>
      <c r="E247" s="23">
        <f>E233/'Surface Area'!B5</f>
        <v>-0.01781932275</v>
      </c>
      <c r="F247" s="23">
        <f>F233/'Surface Area'!B5</f>
        <v>0.2471860849</v>
      </c>
    </row>
    <row r="248">
      <c r="A248" s="7">
        <v>103.0</v>
      </c>
      <c r="B248" s="23">
        <f>B234/'Surface Area'!B6</f>
        <v>0.1437510942</v>
      </c>
      <c r="C248" s="23">
        <f>C234/'Surface Area'!B6</f>
        <v>0.02929401261</v>
      </c>
      <c r="D248" s="23">
        <f>D234/'Surface Area'!B6</f>
        <v>0.09517582829</v>
      </c>
      <c r="E248" s="23">
        <f>E234/'Surface Area'!B6</f>
        <v>-0.02299483892</v>
      </c>
      <c r="F248" s="23">
        <f>F234/'Surface Area'!B6</f>
        <v>0.2850092114</v>
      </c>
    </row>
    <row r="249">
      <c r="A249" s="7">
        <v>42.0</v>
      </c>
      <c r="B249" s="23">
        <f>B235/'Surface Area'!B7</f>
        <v>0.08866776354</v>
      </c>
      <c r="C249" s="23">
        <f>C235/'Surface Area'!B7</f>
        <v>0.0230971158</v>
      </c>
      <c r="D249" s="23">
        <f>D235/'Surface Area'!B7</f>
        <v>0.06644986115</v>
      </c>
      <c r="E249" s="23">
        <f>E235/'Surface Area'!B7</f>
        <v>-0.006159630908</v>
      </c>
      <c r="F249" s="23">
        <f>F235/'Surface Area'!B7</f>
        <v>0.1804712903</v>
      </c>
    </row>
    <row r="250">
      <c r="A250" s="7">
        <v>50.0</v>
      </c>
      <c r="B250" s="23">
        <f>B236/'Surface Area'!B8</f>
        <v>0.09155193881</v>
      </c>
      <c r="C250" s="23">
        <f>C236/'Surface Area'!B8</f>
        <v>0.06012764842</v>
      </c>
      <c r="D250" s="23">
        <f>D236/'Surface Area'!B8</f>
        <v>0.1336550351</v>
      </c>
      <c r="E250" s="23">
        <f>E236/'Surface Area'!B8</f>
        <v>-0.05329194169</v>
      </c>
      <c r="F250" s="23">
        <f>F236/'Surface Area'!B8</f>
        <v>0.333111565</v>
      </c>
    </row>
    <row r="251">
      <c r="A251" s="7">
        <v>57.0</v>
      </c>
      <c r="B251" s="23">
        <f>B237/'Surface Area'!B9</f>
        <v>0.05908152064</v>
      </c>
      <c r="C251" s="23">
        <f>C237/'Surface Area'!B9</f>
        <v>0.01895287066</v>
      </c>
      <c r="D251" s="23">
        <f>D237/'Surface Area'!B9</f>
        <v>0.0452709463</v>
      </c>
      <c r="E251" s="23">
        <f>E237/'Surface Area'!B9</f>
        <v>-0.009500499891</v>
      </c>
      <c r="F251" s="23">
        <f>F237/'Surface Area'!B9</f>
        <v>0.1301322911</v>
      </c>
    </row>
    <row r="252">
      <c r="A252" s="7">
        <v>59.0</v>
      </c>
      <c r="B252" s="23">
        <f>B238/'Surface Area'!B10</f>
        <v>0.08797177557</v>
      </c>
      <c r="C252" s="23">
        <f>C238/'Surface Area'!B10</f>
        <v>0.03305632778</v>
      </c>
      <c r="D252" s="23">
        <f>D238/'Surface Area'!B10</f>
        <v>0.08715769335</v>
      </c>
      <c r="E252" s="23">
        <f>E238/'Surface Area'!B10</f>
        <v>-0.02087968464</v>
      </c>
      <c r="F252" s="23">
        <f>F238/'Surface Area'!B10</f>
        <v>0.2247204979</v>
      </c>
    </row>
    <row r="253">
      <c r="A253" s="7">
        <v>79.0</v>
      </c>
      <c r="B253" s="23">
        <f>B239/'Surface Area'!B11</f>
        <v>0.06439970183</v>
      </c>
      <c r="C253" s="23">
        <f>C239/'Surface Area'!B11</f>
        <v>0.01369590089</v>
      </c>
      <c r="D253" s="23">
        <f>D239/'Surface Area'!B11</f>
        <v>0.05964996064</v>
      </c>
      <c r="E253" s="23">
        <f>E239/'Surface Area'!B11</f>
        <v>-0.005716151363</v>
      </c>
      <c r="F253" s="23">
        <f>F239/'Surface Area'!B11</f>
        <v>0.1404645777</v>
      </c>
    </row>
    <row r="254">
      <c r="A254" s="7">
        <v>86.0</v>
      </c>
      <c r="B254" s="23">
        <f>B240/'Surface Area'!B12</f>
        <v>0.08057086696</v>
      </c>
      <c r="C254" s="23">
        <f>C240/'Surface Area'!B12</f>
        <v>0.007237706748</v>
      </c>
      <c r="D254" s="23">
        <f>D240/'Surface Area'!B12</f>
        <v>0.06082813869</v>
      </c>
      <c r="E254" s="23">
        <f>E240/'Surface Area'!B12</f>
        <v>-0.005433262728</v>
      </c>
      <c r="F254" s="23">
        <f>F240/'Surface Area'!B12</f>
        <v>0.05763528744</v>
      </c>
    </row>
    <row r="255">
      <c r="A255" s="7">
        <v>26.0</v>
      </c>
      <c r="B255" s="23">
        <f>B241/'Surface Area'!B13</f>
        <v>0.1639173514</v>
      </c>
      <c r="C255" s="23">
        <f>C241/'Surface Area'!B13</f>
        <v>0.003559677715</v>
      </c>
      <c r="D255" s="23">
        <f>D241/'Surface Area'!B13</f>
        <v>0.08534882631</v>
      </c>
      <c r="E255" s="23">
        <f>E241/'Surface Area'!B13</f>
        <v>-0.02158813881</v>
      </c>
      <c r="F255" s="23">
        <f>F241/'Surface Area'!B13</f>
        <v>0.240081823</v>
      </c>
    </row>
    <row r="256">
      <c r="A256" s="7">
        <v>30.0</v>
      </c>
      <c r="B256" s="23">
        <f>B242/'Surface Area'!B14</f>
        <v>0.139496243</v>
      </c>
      <c r="C256" s="23">
        <f>C242/'Surface Area'!B14</f>
        <v>0.02766624777</v>
      </c>
      <c r="D256" s="23">
        <f>D242/'Surface Area'!B14</f>
        <v>0.08857368755</v>
      </c>
      <c r="E256" s="23">
        <f>E242/'Surface Area'!B14</f>
        <v>-0.04221593</v>
      </c>
      <c r="F256" s="23">
        <f>F242/'Surface Area'!B14</f>
        <v>0.2773461662</v>
      </c>
    </row>
  </sheetData>
  <mergeCells count="4">
    <mergeCell ref="A230:F230"/>
    <mergeCell ref="A244:F244"/>
    <mergeCell ref="A216:F216"/>
    <mergeCell ref="A181:G18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2" t="s">
        <v>0</v>
      </c>
      <c r="B2" s="3">
        <v>0.088</v>
      </c>
      <c r="C2" s="3">
        <v>0.091</v>
      </c>
      <c r="D2" s="3">
        <v>0.09</v>
      </c>
      <c r="E2" s="8">
        <v>0.121</v>
      </c>
      <c r="F2" s="11">
        <v>0.125</v>
      </c>
      <c r="G2" s="12">
        <v>0.11</v>
      </c>
      <c r="H2" s="5"/>
      <c r="I2" s="5"/>
      <c r="J2" s="5"/>
      <c r="K2" s="5"/>
      <c r="L2" s="5"/>
      <c r="M2" s="5"/>
      <c r="N2" s="6" t="s">
        <v>13</v>
      </c>
    </row>
    <row r="3">
      <c r="A3" s="2" t="s">
        <v>2</v>
      </c>
      <c r="B3" s="15">
        <v>0.134</v>
      </c>
      <c r="C3" s="8">
        <v>0.117</v>
      </c>
      <c r="D3" s="11">
        <v>0.126</v>
      </c>
      <c r="E3" s="12">
        <v>0.113</v>
      </c>
      <c r="F3" s="8">
        <v>0.12</v>
      </c>
      <c r="G3" s="11">
        <v>0.128</v>
      </c>
      <c r="H3" s="5"/>
      <c r="I3" s="5"/>
      <c r="J3" s="5"/>
      <c r="K3" s="5"/>
      <c r="L3" s="5"/>
      <c r="M3" s="5"/>
      <c r="N3" s="6" t="s">
        <v>13</v>
      </c>
    </row>
    <row r="4">
      <c r="A4" s="2" t="s">
        <v>3</v>
      </c>
      <c r="B4" s="15">
        <v>0.136</v>
      </c>
      <c r="C4" s="11">
        <v>0.126</v>
      </c>
      <c r="D4" s="8">
        <v>0.118</v>
      </c>
      <c r="E4" s="18">
        <v>0.179</v>
      </c>
      <c r="F4" s="11">
        <v>0.124</v>
      </c>
      <c r="G4" s="8">
        <v>0.122</v>
      </c>
      <c r="H4" s="5"/>
      <c r="I4" s="5"/>
      <c r="J4" s="5"/>
      <c r="K4" s="5"/>
      <c r="L4" s="5"/>
      <c r="M4" s="5"/>
      <c r="N4" s="6" t="s">
        <v>13</v>
      </c>
    </row>
    <row r="5">
      <c r="A5" s="2" t="s">
        <v>4</v>
      </c>
      <c r="B5" s="12">
        <v>0.114</v>
      </c>
      <c r="C5" s="11">
        <v>0.127</v>
      </c>
      <c r="D5" s="8">
        <v>0.117</v>
      </c>
      <c r="E5" s="5"/>
      <c r="F5" s="5"/>
      <c r="G5" s="5"/>
      <c r="H5" s="5"/>
      <c r="I5" s="5"/>
      <c r="J5" s="5"/>
      <c r="K5" s="5"/>
      <c r="L5" s="5"/>
      <c r="M5" s="5"/>
      <c r="N5" s="6" t="s">
        <v>13</v>
      </c>
    </row>
    <row r="6">
      <c r="A6" s="2" t="s">
        <v>5</v>
      </c>
      <c r="B6" s="17">
        <v>0.174</v>
      </c>
      <c r="C6" s="15">
        <v>0.135</v>
      </c>
      <c r="D6" s="12">
        <v>0.114</v>
      </c>
      <c r="E6" s="5"/>
      <c r="F6" s="5"/>
      <c r="G6" s="5"/>
      <c r="H6" s="5"/>
      <c r="I6" s="5"/>
      <c r="J6" s="5"/>
      <c r="K6" s="5"/>
      <c r="L6" s="5"/>
      <c r="M6" s="5"/>
      <c r="N6" s="6" t="s">
        <v>13</v>
      </c>
    </row>
    <row r="7">
      <c r="A7" s="2" t="s">
        <v>6</v>
      </c>
      <c r="B7" s="12">
        <v>0.109</v>
      </c>
      <c r="C7" s="12">
        <v>0.112</v>
      </c>
      <c r="D7" s="8">
        <v>0.116</v>
      </c>
      <c r="E7" s="5"/>
      <c r="F7" s="5"/>
      <c r="G7" s="5"/>
      <c r="H7" s="5"/>
      <c r="I7" s="5"/>
      <c r="J7" s="5"/>
      <c r="K7" s="5"/>
      <c r="L7" s="5"/>
      <c r="M7" s="5"/>
      <c r="N7" s="6" t="s">
        <v>13</v>
      </c>
    </row>
    <row r="8">
      <c r="A8" s="2" t="s">
        <v>7</v>
      </c>
      <c r="B8" s="16">
        <v>0.155</v>
      </c>
      <c r="C8" s="11">
        <v>0.124</v>
      </c>
      <c r="D8" s="8">
        <v>0.119</v>
      </c>
      <c r="E8" s="5"/>
      <c r="F8" s="5"/>
      <c r="G8" s="5"/>
      <c r="H8" s="5"/>
      <c r="I8" s="5"/>
      <c r="J8" s="5"/>
      <c r="K8" s="5"/>
      <c r="L8" s="5"/>
      <c r="M8" s="5"/>
      <c r="N8" s="6" t="s">
        <v>13</v>
      </c>
    </row>
    <row r="9">
      <c r="A9" s="2" t="s">
        <v>8</v>
      </c>
      <c r="B9" s="12">
        <v>0.112</v>
      </c>
      <c r="C9" s="12">
        <v>0.112</v>
      </c>
      <c r="D9" s="8">
        <v>0.116</v>
      </c>
      <c r="E9" s="5"/>
      <c r="F9" s="5"/>
      <c r="G9" s="5"/>
      <c r="H9" s="5"/>
      <c r="I9" s="5"/>
      <c r="J9" s="5"/>
      <c r="K9" s="5"/>
      <c r="L9" s="5"/>
      <c r="M9" s="5"/>
      <c r="N9" s="6" t="s">
        <v>13</v>
      </c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</row>
    <row r="12">
      <c r="A12" s="2" t="s">
        <v>0</v>
      </c>
      <c r="B12" s="3">
        <v>0.086</v>
      </c>
      <c r="C12" s="3">
        <v>0.089</v>
      </c>
      <c r="D12" s="3">
        <v>0.088</v>
      </c>
      <c r="E12" s="12">
        <v>0.114</v>
      </c>
      <c r="F12" s="8">
        <v>0.117</v>
      </c>
      <c r="G12" s="9">
        <v>0.102</v>
      </c>
      <c r="H12" s="5"/>
      <c r="I12" s="5"/>
      <c r="J12" s="5"/>
      <c r="K12" s="5"/>
      <c r="L12" s="5"/>
      <c r="M12" s="5"/>
      <c r="N12" s="6" t="s">
        <v>15</v>
      </c>
    </row>
    <row r="13">
      <c r="A13" s="2" t="s">
        <v>2</v>
      </c>
      <c r="B13" s="11">
        <v>0.127</v>
      </c>
      <c r="C13" s="12">
        <v>0.111</v>
      </c>
      <c r="D13" s="8">
        <v>0.12</v>
      </c>
      <c r="E13" s="12">
        <v>0.11</v>
      </c>
      <c r="F13" s="8">
        <v>0.117</v>
      </c>
      <c r="G13" s="11">
        <v>0.126</v>
      </c>
      <c r="H13" s="5"/>
      <c r="I13" s="5"/>
      <c r="J13" s="5"/>
      <c r="K13" s="5"/>
      <c r="L13" s="5"/>
      <c r="M13" s="5"/>
      <c r="N13" s="6" t="s">
        <v>15</v>
      </c>
    </row>
    <row r="14">
      <c r="A14" s="2" t="s">
        <v>3</v>
      </c>
      <c r="B14" s="15">
        <v>0.131</v>
      </c>
      <c r="C14" s="8">
        <v>0.121</v>
      </c>
      <c r="D14" s="8">
        <v>0.115</v>
      </c>
      <c r="E14" s="17">
        <v>0.173</v>
      </c>
      <c r="F14" s="8">
        <v>0.12</v>
      </c>
      <c r="G14" s="8">
        <v>0.117</v>
      </c>
      <c r="H14" s="5"/>
      <c r="I14" s="5"/>
      <c r="J14" s="5"/>
      <c r="K14" s="5"/>
      <c r="L14" s="5"/>
      <c r="M14" s="5"/>
      <c r="N14" s="6" t="s">
        <v>15</v>
      </c>
    </row>
    <row r="15">
      <c r="A15" s="2" t="s">
        <v>4</v>
      </c>
      <c r="B15" s="12">
        <v>0.109</v>
      </c>
      <c r="C15" s="11">
        <v>0.122</v>
      </c>
      <c r="D15" s="12">
        <v>0.113</v>
      </c>
      <c r="E15" s="5"/>
      <c r="F15" s="5"/>
      <c r="G15" s="5"/>
      <c r="H15" s="5"/>
      <c r="I15" s="5"/>
      <c r="J15" s="5"/>
      <c r="K15" s="5"/>
      <c r="L15" s="5"/>
      <c r="M15" s="5"/>
      <c r="N15" s="6" t="s">
        <v>15</v>
      </c>
    </row>
    <row r="16">
      <c r="A16" s="2" t="s">
        <v>5</v>
      </c>
      <c r="B16" s="13">
        <v>0.167</v>
      </c>
      <c r="C16" s="11">
        <v>0.124</v>
      </c>
      <c r="D16" s="12">
        <v>0.108</v>
      </c>
      <c r="E16" s="5"/>
      <c r="F16" s="5"/>
      <c r="G16" s="5"/>
      <c r="H16" s="5"/>
      <c r="I16" s="5"/>
      <c r="J16" s="5"/>
      <c r="K16" s="5"/>
      <c r="L16" s="5"/>
      <c r="M16" s="5"/>
      <c r="N16" s="6" t="s">
        <v>15</v>
      </c>
    </row>
    <row r="17">
      <c r="A17" s="2" t="s">
        <v>6</v>
      </c>
      <c r="B17" s="9">
        <v>0.105</v>
      </c>
      <c r="C17" s="12">
        <v>0.107</v>
      </c>
      <c r="D17" s="12">
        <v>0.113</v>
      </c>
      <c r="E17" s="5"/>
      <c r="F17" s="5"/>
      <c r="G17" s="5"/>
      <c r="H17" s="5"/>
      <c r="I17" s="5"/>
      <c r="J17" s="5"/>
      <c r="K17" s="5"/>
      <c r="L17" s="5"/>
      <c r="M17" s="5"/>
      <c r="N17" s="6" t="s">
        <v>15</v>
      </c>
    </row>
    <row r="18">
      <c r="A18" s="2" t="s">
        <v>7</v>
      </c>
      <c r="B18" s="14">
        <v>0.145</v>
      </c>
      <c r="C18" s="8">
        <v>0.117</v>
      </c>
      <c r="D18" s="12">
        <v>0.113</v>
      </c>
      <c r="E18" s="5"/>
      <c r="F18" s="5"/>
      <c r="G18" s="5"/>
      <c r="H18" s="5"/>
      <c r="I18" s="5"/>
      <c r="J18" s="5"/>
      <c r="K18" s="5"/>
      <c r="L18" s="5"/>
      <c r="M18" s="5"/>
      <c r="N18" s="6" t="s">
        <v>15</v>
      </c>
    </row>
    <row r="19">
      <c r="A19" s="2" t="s">
        <v>8</v>
      </c>
      <c r="B19" s="9">
        <v>0.106</v>
      </c>
      <c r="C19" s="9">
        <v>0.105</v>
      </c>
      <c r="D19" s="12">
        <v>0.11</v>
      </c>
      <c r="E19" s="5"/>
      <c r="F19" s="5"/>
      <c r="G19" s="5"/>
      <c r="H19" s="5"/>
      <c r="I19" s="5"/>
      <c r="J19" s="5"/>
      <c r="K19" s="5"/>
      <c r="L19" s="5"/>
      <c r="M19" s="5"/>
      <c r="N19" s="6" t="s">
        <v>15</v>
      </c>
    </row>
    <row r="21">
      <c r="A21" s="1"/>
      <c r="B21" s="2">
        <v>1.0</v>
      </c>
      <c r="C21" s="2">
        <v>2.0</v>
      </c>
      <c r="D21" s="2">
        <v>3.0</v>
      </c>
      <c r="E21" s="2">
        <v>4.0</v>
      </c>
      <c r="F21" s="2">
        <v>5.0</v>
      </c>
      <c r="G21" s="2">
        <v>6.0</v>
      </c>
      <c r="H21" s="2">
        <v>7.0</v>
      </c>
      <c r="I21" s="2">
        <v>8.0</v>
      </c>
      <c r="J21" s="2">
        <v>9.0</v>
      </c>
      <c r="K21" s="2">
        <v>10.0</v>
      </c>
      <c r="L21" s="2">
        <v>11.0</v>
      </c>
      <c r="M21" s="2">
        <v>12.0</v>
      </c>
    </row>
    <row r="22">
      <c r="A22" s="2" t="s">
        <v>0</v>
      </c>
      <c r="B22" s="3">
        <v>0.085</v>
      </c>
      <c r="C22" s="3">
        <v>0.088</v>
      </c>
      <c r="D22" s="3">
        <v>0.087</v>
      </c>
      <c r="E22" s="15">
        <v>0.148</v>
      </c>
      <c r="F22" s="14">
        <v>0.153</v>
      </c>
      <c r="G22" s="8">
        <v>0.127</v>
      </c>
      <c r="H22" s="5"/>
      <c r="I22" s="5"/>
      <c r="J22" s="5"/>
      <c r="K22" s="5"/>
      <c r="L22" s="5"/>
      <c r="M22" s="5"/>
      <c r="N22" s="6" t="s">
        <v>17</v>
      </c>
    </row>
    <row r="23">
      <c r="A23" s="2" t="s">
        <v>2</v>
      </c>
      <c r="B23" s="13">
        <v>0.184</v>
      </c>
      <c r="C23" s="15">
        <v>0.144</v>
      </c>
      <c r="D23" s="16">
        <v>0.17</v>
      </c>
      <c r="E23" s="15">
        <v>0.147</v>
      </c>
      <c r="F23" s="16">
        <v>0.172</v>
      </c>
      <c r="G23" s="16">
        <v>0.173</v>
      </c>
      <c r="H23" s="5"/>
      <c r="I23" s="5"/>
      <c r="J23" s="5"/>
      <c r="K23" s="5"/>
      <c r="L23" s="5"/>
      <c r="M23" s="5"/>
      <c r="N23" s="6" t="s">
        <v>17</v>
      </c>
    </row>
    <row r="24">
      <c r="A24" s="2" t="s">
        <v>3</v>
      </c>
      <c r="B24" s="18">
        <v>0.2</v>
      </c>
      <c r="C24" s="19">
        <v>0.163</v>
      </c>
      <c r="D24" s="19">
        <v>0.161</v>
      </c>
      <c r="E24" s="10">
        <v>0.218</v>
      </c>
      <c r="F24" s="16">
        <v>0.177</v>
      </c>
      <c r="G24" s="19">
        <v>0.168</v>
      </c>
      <c r="H24" s="5"/>
      <c r="I24" s="5"/>
      <c r="J24" s="5"/>
      <c r="K24" s="5"/>
      <c r="L24" s="5"/>
      <c r="M24" s="5"/>
      <c r="N24" s="6" t="s">
        <v>17</v>
      </c>
    </row>
    <row r="25">
      <c r="A25" s="2" t="s">
        <v>4</v>
      </c>
      <c r="B25" s="15">
        <v>0.147</v>
      </c>
      <c r="C25" s="13">
        <v>0.185</v>
      </c>
      <c r="D25" s="14">
        <v>0.157</v>
      </c>
      <c r="E25" s="5"/>
      <c r="F25" s="5"/>
      <c r="G25" s="5"/>
      <c r="H25" s="5"/>
      <c r="I25" s="5"/>
      <c r="J25" s="5"/>
      <c r="K25" s="5"/>
      <c r="L25" s="5"/>
      <c r="M25" s="5"/>
      <c r="N25" s="6" t="s">
        <v>17</v>
      </c>
    </row>
    <row r="26">
      <c r="A26" s="2" t="s">
        <v>5</v>
      </c>
      <c r="B26" s="17">
        <v>0.195</v>
      </c>
      <c r="C26" s="15">
        <v>0.143</v>
      </c>
      <c r="D26" s="11">
        <v>0.133</v>
      </c>
      <c r="E26" s="5"/>
      <c r="F26" s="5"/>
      <c r="G26" s="5"/>
      <c r="H26" s="5"/>
      <c r="I26" s="5"/>
      <c r="J26" s="5"/>
      <c r="K26" s="5"/>
      <c r="L26" s="5"/>
      <c r="M26" s="5"/>
      <c r="N26" s="6" t="s">
        <v>17</v>
      </c>
    </row>
    <row r="27">
      <c r="A27" s="2" t="s">
        <v>6</v>
      </c>
      <c r="B27" s="11">
        <v>0.132</v>
      </c>
      <c r="C27" s="15">
        <v>0.144</v>
      </c>
      <c r="D27" s="15">
        <v>0.142</v>
      </c>
      <c r="E27" s="5"/>
      <c r="F27" s="5"/>
      <c r="G27" s="5"/>
      <c r="H27" s="5"/>
      <c r="I27" s="5"/>
      <c r="J27" s="5"/>
      <c r="K27" s="5"/>
      <c r="L27" s="5"/>
      <c r="M27" s="5"/>
      <c r="N27" s="6" t="s">
        <v>17</v>
      </c>
    </row>
    <row r="28">
      <c r="A28" s="2" t="s">
        <v>7</v>
      </c>
      <c r="B28" s="18">
        <v>0.2</v>
      </c>
      <c r="C28" s="19">
        <v>0.167</v>
      </c>
      <c r="D28" s="15">
        <v>0.15</v>
      </c>
      <c r="E28" s="5"/>
      <c r="F28" s="5"/>
      <c r="G28" s="5"/>
      <c r="H28" s="5"/>
      <c r="I28" s="5"/>
      <c r="J28" s="5"/>
      <c r="K28" s="5"/>
      <c r="L28" s="5"/>
      <c r="M28" s="5"/>
      <c r="N28" s="6" t="s">
        <v>17</v>
      </c>
    </row>
    <row r="29">
      <c r="A29" s="2" t="s">
        <v>8</v>
      </c>
      <c r="B29" s="11">
        <v>0.132</v>
      </c>
      <c r="C29" s="11">
        <v>0.134</v>
      </c>
      <c r="D29" s="15">
        <v>0.143</v>
      </c>
      <c r="E29" s="5"/>
      <c r="F29" s="5"/>
      <c r="G29" s="5"/>
      <c r="H29" s="5"/>
      <c r="I29" s="5"/>
      <c r="J29" s="5"/>
      <c r="K29" s="5"/>
      <c r="L29" s="5"/>
      <c r="M29" s="5"/>
      <c r="N29" s="6" t="s">
        <v>17</v>
      </c>
    </row>
    <row r="31">
      <c r="A31" s="1"/>
      <c r="B31" s="2">
        <v>1.0</v>
      </c>
      <c r="C31" s="2">
        <v>2.0</v>
      </c>
      <c r="D31" s="2">
        <v>3.0</v>
      </c>
      <c r="E31" s="2">
        <v>4.0</v>
      </c>
      <c r="F31" s="2">
        <v>5.0</v>
      </c>
      <c r="G31" s="2">
        <v>6.0</v>
      </c>
      <c r="H31" s="2">
        <v>7.0</v>
      </c>
      <c r="I31" s="2">
        <v>8.0</v>
      </c>
      <c r="J31" s="2">
        <v>9.0</v>
      </c>
      <c r="K31" s="2">
        <v>10.0</v>
      </c>
      <c r="L31" s="2">
        <v>11.0</v>
      </c>
      <c r="M31" s="2">
        <v>12.0</v>
      </c>
    </row>
    <row r="32">
      <c r="A32" s="2" t="s">
        <v>0</v>
      </c>
      <c r="B32" s="3">
        <v>0.085</v>
      </c>
      <c r="C32" s="3">
        <v>0.087</v>
      </c>
      <c r="D32" s="3">
        <v>0.087</v>
      </c>
      <c r="E32" s="4">
        <v>0.09</v>
      </c>
      <c r="F32" s="4">
        <v>0.09</v>
      </c>
      <c r="G32" s="3">
        <v>0.086</v>
      </c>
      <c r="H32" s="5"/>
      <c r="I32" s="5"/>
      <c r="J32" s="5"/>
      <c r="K32" s="5"/>
      <c r="L32" s="5"/>
      <c r="M32" s="5"/>
      <c r="N32" s="6" t="s">
        <v>19</v>
      </c>
    </row>
    <row r="33">
      <c r="A33" s="2" t="s">
        <v>2</v>
      </c>
      <c r="B33" s="9">
        <v>0.096</v>
      </c>
      <c r="C33" s="4">
        <v>0.094</v>
      </c>
      <c r="D33" s="4">
        <v>0.093</v>
      </c>
      <c r="E33" s="4">
        <v>0.091</v>
      </c>
      <c r="F33" s="4">
        <v>0.092</v>
      </c>
      <c r="G33" s="9">
        <v>0.102</v>
      </c>
      <c r="H33" s="5"/>
      <c r="I33" s="5"/>
      <c r="J33" s="5"/>
      <c r="K33" s="5"/>
      <c r="L33" s="5"/>
      <c r="M33" s="5"/>
      <c r="N33" s="6" t="s">
        <v>19</v>
      </c>
    </row>
    <row r="34">
      <c r="A34" s="2" t="s">
        <v>3</v>
      </c>
      <c r="B34" s="9">
        <v>0.097</v>
      </c>
      <c r="C34" s="9">
        <v>0.098</v>
      </c>
      <c r="D34" s="4">
        <v>0.092</v>
      </c>
      <c r="E34" s="16">
        <v>0.157</v>
      </c>
      <c r="F34" s="4">
        <v>0.092</v>
      </c>
      <c r="G34" s="4">
        <v>0.092</v>
      </c>
      <c r="H34" s="5"/>
      <c r="I34" s="5"/>
      <c r="J34" s="5"/>
      <c r="K34" s="5"/>
      <c r="L34" s="5"/>
      <c r="M34" s="5"/>
      <c r="N34" s="6" t="s">
        <v>19</v>
      </c>
    </row>
    <row r="35">
      <c r="A35" s="2" t="s">
        <v>4</v>
      </c>
      <c r="B35" s="4">
        <v>0.088</v>
      </c>
      <c r="C35" s="4">
        <v>0.089</v>
      </c>
      <c r="D35" s="4">
        <v>0.089</v>
      </c>
      <c r="E35" s="5"/>
      <c r="F35" s="5"/>
      <c r="G35" s="5"/>
      <c r="H35" s="5"/>
      <c r="I35" s="5"/>
      <c r="J35" s="5"/>
      <c r="K35" s="5"/>
      <c r="L35" s="5"/>
      <c r="M35" s="5"/>
      <c r="N35" s="6" t="s">
        <v>19</v>
      </c>
    </row>
    <row r="36">
      <c r="A36" s="2" t="s">
        <v>5</v>
      </c>
      <c r="B36" s="19">
        <v>0.145</v>
      </c>
      <c r="C36" s="12">
        <v>0.109</v>
      </c>
      <c r="D36" s="4">
        <v>0.089</v>
      </c>
      <c r="E36" s="5"/>
      <c r="F36" s="5"/>
      <c r="G36" s="5"/>
      <c r="H36" s="5"/>
      <c r="I36" s="5"/>
      <c r="J36" s="5"/>
      <c r="K36" s="5"/>
      <c r="L36" s="5"/>
      <c r="M36" s="5"/>
      <c r="N36" s="6" t="s">
        <v>19</v>
      </c>
    </row>
    <row r="37">
      <c r="A37" s="2" t="s">
        <v>6</v>
      </c>
      <c r="B37" s="4">
        <v>0.092</v>
      </c>
      <c r="C37" s="4">
        <v>0.089</v>
      </c>
      <c r="D37" s="4">
        <v>0.093</v>
      </c>
      <c r="E37" s="5"/>
      <c r="F37" s="5"/>
      <c r="G37" s="5"/>
      <c r="H37" s="5"/>
      <c r="I37" s="5"/>
      <c r="J37" s="5"/>
      <c r="K37" s="5"/>
      <c r="L37" s="5"/>
      <c r="M37" s="5"/>
      <c r="N37" s="6" t="s">
        <v>19</v>
      </c>
    </row>
    <row r="38">
      <c r="A38" s="2" t="s">
        <v>7</v>
      </c>
      <c r="B38" s="8">
        <v>0.114</v>
      </c>
      <c r="C38" s="4">
        <v>0.091</v>
      </c>
      <c r="D38" s="4">
        <v>0.088</v>
      </c>
      <c r="E38" s="5"/>
      <c r="F38" s="5"/>
      <c r="G38" s="5"/>
      <c r="H38" s="5"/>
      <c r="I38" s="5"/>
      <c r="J38" s="5"/>
      <c r="K38" s="5"/>
      <c r="L38" s="5"/>
      <c r="M38" s="5"/>
      <c r="N38" s="6" t="s">
        <v>19</v>
      </c>
    </row>
    <row r="39">
      <c r="A39" s="2" t="s">
        <v>8</v>
      </c>
      <c r="B39" s="4">
        <v>0.089</v>
      </c>
      <c r="C39" s="3">
        <v>0.087</v>
      </c>
      <c r="D39" s="4">
        <v>0.091</v>
      </c>
      <c r="E39" s="5"/>
      <c r="F39" s="5"/>
      <c r="G39" s="5"/>
      <c r="H39" s="5"/>
      <c r="I39" s="5"/>
      <c r="J39" s="5"/>
      <c r="K39" s="5"/>
      <c r="L39" s="5"/>
      <c r="M39" s="5"/>
      <c r="N39" s="6" t="s">
        <v>19</v>
      </c>
    </row>
    <row r="41">
      <c r="A41" s="7" t="s">
        <v>32</v>
      </c>
      <c r="B41" s="7" t="s">
        <v>33</v>
      </c>
      <c r="C41" s="7" t="s">
        <v>34</v>
      </c>
      <c r="D41" s="7" t="s">
        <v>35</v>
      </c>
      <c r="E41" s="7" t="s">
        <v>36</v>
      </c>
      <c r="F41" s="7" t="s">
        <v>37</v>
      </c>
      <c r="H41" s="7" t="s">
        <v>38</v>
      </c>
    </row>
    <row r="42">
      <c r="A42" s="6" t="s">
        <v>12</v>
      </c>
      <c r="B42" s="2" t="s">
        <v>0</v>
      </c>
      <c r="C42" s="3">
        <f t="shared" ref="C42:C49" si="1">B2</f>
        <v>0.088</v>
      </c>
      <c r="D42" s="7" t="s">
        <v>39</v>
      </c>
      <c r="E42" s="23">
        <f>AVERAGE(C42,C50,C58)</f>
        <v>0.08966666667</v>
      </c>
      <c r="F42" s="24">
        <f t="shared" ref="F42:F74" si="2">C42-E$42</f>
        <v>-0.001666666667</v>
      </c>
      <c r="H42" s="7">
        <v>1.0</v>
      </c>
    </row>
    <row r="43">
      <c r="A43" s="6" t="s">
        <v>12</v>
      </c>
      <c r="B43" s="2" t="s">
        <v>2</v>
      </c>
      <c r="C43" s="3">
        <f t="shared" si="1"/>
        <v>0.134</v>
      </c>
      <c r="D43" s="7">
        <v>98.0</v>
      </c>
      <c r="F43" s="24">
        <f t="shared" si="2"/>
        <v>0.04433333333</v>
      </c>
      <c r="H43" s="7">
        <v>1.0</v>
      </c>
    </row>
    <row r="44">
      <c r="A44" s="6" t="s">
        <v>12</v>
      </c>
      <c r="B44" s="2" t="s">
        <v>3</v>
      </c>
      <c r="C44" s="3">
        <f t="shared" si="1"/>
        <v>0.136</v>
      </c>
      <c r="D44" s="7">
        <v>103.0</v>
      </c>
      <c r="F44" s="24">
        <f t="shared" si="2"/>
        <v>0.04633333333</v>
      </c>
      <c r="H44" s="7">
        <v>1.0</v>
      </c>
    </row>
    <row r="45">
      <c r="A45" s="6" t="s">
        <v>12</v>
      </c>
      <c r="B45" s="2" t="s">
        <v>4</v>
      </c>
      <c r="C45" s="3">
        <f t="shared" si="1"/>
        <v>0.114</v>
      </c>
      <c r="D45" s="7">
        <v>42.0</v>
      </c>
      <c r="F45" s="24">
        <f t="shared" si="2"/>
        <v>0.02433333333</v>
      </c>
      <c r="H45" s="7">
        <v>1.0</v>
      </c>
    </row>
    <row r="46">
      <c r="A46" s="6" t="s">
        <v>12</v>
      </c>
      <c r="B46" s="2" t="s">
        <v>5</v>
      </c>
      <c r="C46" s="3">
        <f t="shared" si="1"/>
        <v>0.174</v>
      </c>
      <c r="D46" s="7">
        <v>50.0</v>
      </c>
      <c r="F46" s="24">
        <f t="shared" si="2"/>
        <v>0.08433333333</v>
      </c>
      <c r="H46" s="7">
        <v>1.0</v>
      </c>
    </row>
    <row r="47">
      <c r="A47" s="6" t="s">
        <v>12</v>
      </c>
      <c r="B47" s="2" t="s">
        <v>6</v>
      </c>
      <c r="C47" s="3">
        <f t="shared" si="1"/>
        <v>0.109</v>
      </c>
      <c r="D47" s="7">
        <v>57.0</v>
      </c>
      <c r="F47" s="24">
        <f t="shared" si="2"/>
        <v>0.01933333333</v>
      </c>
      <c r="H47" s="7">
        <v>1.0</v>
      </c>
    </row>
    <row r="48">
      <c r="A48" s="6" t="s">
        <v>12</v>
      </c>
      <c r="B48" s="2" t="s">
        <v>7</v>
      </c>
      <c r="C48" s="3">
        <f t="shared" si="1"/>
        <v>0.155</v>
      </c>
      <c r="D48" s="7">
        <v>59.0</v>
      </c>
      <c r="F48" s="24">
        <f t="shared" si="2"/>
        <v>0.06533333333</v>
      </c>
      <c r="H48" s="7">
        <v>1.0</v>
      </c>
    </row>
    <row r="49">
      <c r="A49" s="6" t="s">
        <v>12</v>
      </c>
      <c r="B49" s="2" t="s">
        <v>8</v>
      </c>
      <c r="C49" s="3">
        <f t="shared" si="1"/>
        <v>0.112</v>
      </c>
      <c r="D49" s="7">
        <v>79.0</v>
      </c>
      <c r="F49" s="24">
        <f t="shared" si="2"/>
        <v>0.02233333333</v>
      </c>
      <c r="H49" s="7">
        <v>1.0</v>
      </c>
    </row>
    <row r="50">
      <c r="A50" s="6" t="s">
        <v>12</v>
      </c>
      <c r="B50" s="2" t="s">
        <v>0</v>
      </c>
      <c r="C50" s="3">
        <f t="shared" ref="C50:C57" si="3">C2</f>
        <v>0.091</v>
      </c>
      <c r="D50" s="7" t="s">
        <v>39</v>
      </c>
      <c r="F50" s="24">
        <f t="shared" si="2"/>
        <v>0.001333333333</v>
      </c>
      <c r="H50" s="7">
        <v>2.0</v>
      </c>
    </row>
    <row r="51">
      <c r="A51" s="6" t="s">
        <v>12</v>
      </c>
      <c r="B51" s="2" t="s">
        <v>2</v>
      </c>
      <c r="C51" s="3">
        <f t="shared" si="3"/>
        <v>0.117</v>
      </c>
      <c r="D51" s="7">
        <v>98.0</v>
      </c>
      <c r="F51" s="24">
        <f t="shared" si="2"/>
        <v>0.02733333333</v>
      </c>
      <c r="H51" s="7">
        <v>2.0</v>
      </c>
    </row>
    <row r="52">
      <c r="A52" s="6" t="s">
        <v>12</v>
      </c>
      <c r="B52" s="2" t="s">
        <v>3</v>
      </c>
      <c r="C52" s="3">
        <f t="shared" si="3"/>
        <v>0.126</v>
      </c>
      <c r="D52" s="7">
        <v>103.0</v>
      </c>
      <c r="F52" s="24">
        <f t="shared" si="2"/>
        <v>0.03633333333</v>
      </c>
      <c r="H52" s="7">
        <v>2.0</v>
      </c>
    </row>
    <row r="53">
      <c r="A53" s="6" t="s">
        <v>12</v>
      </c>
      <c r="B53" s="2" t="s">
        <v>4</v>
      </c>
      <c r="C53" s="3">
        <f t="shared" si="3"/>
        <v>0.127</v>
      </c>
      <c r="D53" s="7">
        <v>42.0</v>
      </c>
      <c r="F53" s="24">
        <f t="shared" si="2"/>
        <v>0.03733333333</v>
      </c>
      <c r="H53" s="7">
        <v>2.0</v>
      </c>
    </row>
    <row r="54">
      <c r="A54" s="6" t="s">
        <v>12</v>
      </c>
      <c r="B54" s="2" t="s">
        <v>5</v>
      </c>
      <c r="C54" s="3">
        <f t="shared" si="3"/>
        <v>0.135</v>
      </c>
      <c r="D54" s="7">
        <v>50.0</v>
      </c>
      <c r="F54" s="24">
        <f t="shared" si="2"/>
        <v>0.04533333333</v>
      </c>
      <c r="H54" s="7">
        <v>2.0</v>
      </c>
    </row>
    <row r="55">
      <c r="A55" s="6" t="s">
        <v>12</v>
      </c>
      <c r="B55" s="2" t="s">
        <v>6</v>
      </c>
      <c r="C55" s="3">
        <f t="shared" si="3"/>
        <v>0.112</v>
      </c>
      <c r="D55" s="7">
        <v>57.0</v>
      </c>
      <c r="F55" s="24">
        <f t="shared" si="2"/>
        <v>0.02233333333</v>
      </c>
      <c r="H55" s="7">
        <v>2.0</v>
      </c>
    </row>
    <row r="56">
      <c r="A56" s="6" t="s">
        <v>12</v>
      </c>
      <c r="B56" s="2" t="s">
        <v>7</v>
      </c>
      <c r="C56" s="3">
        <f t="shared" si="3"/>
        <v>0.124</v>
      </c>
      <c r="D56" s="7">
        <v>59.0</v>
      </c>
      <c r="F56" s="24">
        <f t="shared" si="2"/>
        <v>0.03433333333</v>
      </c>
      <c r="H56" s="7">
        <v>2.0</v>
      </c>
    </row>
    <row r="57">
      <c r="A57" s="6" t="s">
        <v>12</v>
      </c>
      <c r="B57" s="2" t="s">
        <v>8</v>
      </c>
      <c r="C57" s="3">
        <f t="shared" si="3"/>
        <v>0.112</v>
      </c>
      <c r="D57" s="7">
        <v>79.0</v>
      </c>
      <c r="F57" s="24">
        <f t="shared" si="2"/>
        <v>0.02233333333</v>
      </c>
      <c r="H57" s="7">
        <v>2.0</v>
      </c>
    </row>
    <row r="58">
      <c r="A58" s="6" t="s">
        <v>12</v>
      </c>
      <c r="B58" s="2" t="s">
        <v>0</v>
      </c>
      <c r="C58" s="3">
        <f t="shared" ref="C58:C65" si="4">D2</f>
        <v>0.09</v>
      </c>
      <c r="D58" s="7" t="s">
        <v>39</v>
      </c>
      <c r="F58" s="24">
        <f t="shared" si="2"/>
        <v>0.0003333333333</v>
      </c>
      <c r="H58" s="7">
        <v>3.0</v>
      </c>
    </row>
    <row r="59">
      <c r="A59" s="6" t="s">
        <v>12</v>
      </c>
      <c r="B59" s="2" t="s">
        <v>2</v>
      </c>
      <c r="C59" s="3">
        <f t="shared" si="4"/>
        <v>0.126</v>
      </c>
      <c r="D59" s="7">
        <v>98.0</v>
      </c>
      <c r="F59" s="24">
        <f t="shared" si="2"/>
        <v>0.03633333333</v>
      </c>
      <c r="H59" s="7">
        <v>3.0</v>
      </c>
    </row>
    <row r="60">
      <c r="A60" s="6" t="s">
        <v>12</v>
      </c>
      <c r="B60" s="2" t="s">
        <v>3</v>
      </c>
      <c r="C60" s="3">
        <f t="shared" si="4"/>
        <v>0.118</v>
      </c>
      <c r="D60" s="7">
        <v>103.0</v>
      </c>
      <c r="F60" s="24">
        <f t="shared" si="2"/>
        <v>0.02833333333</v>
      </c>
      <c r="H60" s="7">
        <v>3.0</v>
      </c>
    </row>
    <row r="61">
      <c r="A61" s="6" t="s">
        <v>12</v>
      </c>
      <c r="B61" s="2" t="s">
        <v>4</v>
      </c>
      <c r="C61" s="3">
        <f t="shared" si="4"/>
        <v>0.117</v>
      </c>
      <c r="D61" s="7">
        <v>42.0</v>
      </c>
      <c r="F61" s="24">
        <f t="shared" si="2"/>
        <v>0.02733333333</v>
      </c>
      <c r="H61" s="7">
        <v>3.0</v>
      </c>
    </row>
    <row r="62">
      <c r="A62" s="6" t="s">
        <v>12</v>
      </c>
      <c r="B62" s="2" t="s">
        <v>5</v>
      </c>
      <c r="C62" s="3">
        <f t="shared" si="4"/>
        <v>0.114</v>
      </c>
      <c r="D62" s="7">
        <v>50.0</v>
      </c>
      <c r="F62" s="24">
        <f t="shared" si="2"/>
        <v>0.02433333333</v>
      </c>
      <c r="H62" s="7">
        <v>3.0</v>
      </c>
    </row>
    <row r="63">
      <c r="A63" s="6" t="s">
        <v>12</v>
      </c>
      <c r="B63" s="2" t="s">
        <v>6</v>
      </c>
      <c r="C63" s="3">
        <f t="shared" si="4"/>
        <v>0.116</v>
      </c>
      <c r="D63" s="7">
        <v>57.0</v>
      </c>
      <c r="F63" s="24">
        <f t="shared" si="2"/>
        <v>0.02633333333</v>
      </c>
      <c r="H63" s="7">
        <v>3.0</v>
      </c>
    </row>
    <row r="64">
      <c r="A64" s="6" t="s">
        <v>12</v>
      </c>
      <c r="B64" s="2" t="s">
        <v>7</v>
      </c>
      <c r="C64" s="3">
        <f t="shared" si="4"/>
        <v>0.119</v>
      </c>
      <c r="D64" s="7">
        <v>59.0</v>
      </c>
      <c r="F64" s="24">
        <f t="shared" si="2"/>
        <v>0.02933333333</v>
      </c>
      <c r="H64" s="7">
        <v>3.0</v>
      </c>
    </row>
    <row r="65">
      <c r="A65" s="6" t="s">
        <v>12</v>
      </c>
      <c r="B65" s="2" t="s">
        <v>8</v>
      </c>
      <c r="C65" s="3">
        <f t="shared" si="4"/>
        <v>0.116</v>
      </c>
      <c r="D65" s="7">
        <v>79.0</v>
      </c>
      <c r="F65" s="24">
        <f t="shared" si="2"/>
        <v>0.02633333333</v>
      </c>
      <c r="H65" s="7">
        <v>3.0</v>
      </c>
    </row>
    <row r="66">
      <c r="A66" s="6" t="s">
        <v>12</v>
      </c>
      <c r="B66" s="7" t="s">
        <v>0</v>
      </c>
      <c r="C66" s="8">
        <f t="shared" ref="C66:C68" si="5">E2</f>
        <v>0.121</v>
      </c>
      <c r="D66" s="7">
        <v>86.0</v>
      </c>
      <c r="F66" s="24">
        <f t="shared" si="2"/>
        <v>0.03133333333</v>
      </c>
      <c r="H66" s="7">
        <v>1.0</v>
      </c>
    </row>
    <row r="67">
      <c r="A67" s="6" t="s">
        <v>12</v>
      </c>
      <c r="B67" s="7" t="s">
        <v>2</v>
      </c>
      <c r="C67" s="8">
        <f t="shared" si="5"/>
        <v>0.113</v>
      </c>
      <c r="D67" s="7">
        <v>26.0</v>
      </c>
      <c r="F67" s="24">
        <f t="shared" si="2"/>
        <v>0.02333333333</v>
      </c>
      <c r="H67" s="7">
        <v>1.0</v>
      </c>
    </row>
    <row r="68">
      <c r="A68" s="6" t="s">
        <v>12</v>
      </c>
      <c r="B68" s="7" t="s">
        <v>3</v>
      </c>
      <c r="C68" s="8">
        <f t="shared" si="5"/>
        <v>0.179</v>
      </c>
      <c r="D68" s="7">
        <v>30.0</v>
      </c>
      <c r="F68" s="24">
        <f t="shared" si="2"/>
        <v>0.08933333333</v>
      </c>
      <c r="H68" s="7">
        <v>1.0</v>
      </c>
    </row>
    <row r="69">
      <c r="A69" s="6" t="s">
        <v>12</v>
      </c>
      <c r="B69" s="7" t="s">
        <v>0</v>
      </c>
      <c r="C69" s="11">
        <f t="shared" ref="C69:C71" si="6">F2</f>
        <v>0.125</v>
      </c>
      <c r="D69" s="7">
        <v>86.0</v>
      </c>
      <c r="F69" s="24">
        <f t="shared" si="2"/>
        <v>0.03533333333</v>
      </c>
      <c r="H69" s="7">
        <v>2.0</v>
      </c>
    </row>
    <row r="70">
      <c r="A70" s="6" t="s">
        <v>12</v>
      </c>
      <c r="B70" s="7" t="s">
        <v>2</v>
      </c>
      <c r="C70" s="11">
        <f t="shared" si="6"/>
        <v>0.12</v>
      </c>
      <c r="D70" s="7">
        <v>26.0</v>
      </c>
      <c r="F70" s="24">
        <f t="shared" si="2"/>
        <v>0.03033333333</v>
      </c>
      <c r="H70" s="7">
        <v>2.0</v>
      </c>
    </row>
    <row r="71">
      <c r="A71" s="6" t="s">
        <v>12</v>
      </c>
      <c r="B71" s="7" t="s">
        <v>3</v>
      </c>
      <c r="C71" s="11">
        <f t="shared" si="6"/>
        <v>0.124</v>
      </c>
      <c r="D71" s="7">
        <v>30.0</v>
      </c>
      <c r="F71" s="24">
        <f t="shared" si="2"/>
        <v>0.03433333333</v>
      </c>
      <c r="H71" s="7">
        <v>2.0</v>
      </c>
    </row>
    <row r="72">
      <c r="A72" s="6" t="s">
        <v>12</v>
      </c>
      <c r="B72" s="7" t="s">
        <v>0</v>
      </c>
      <c r="C72" s="12">
        <f t="shared" ref="C72:C74" si="7">G2</f>
        <v>0.11</v>
      </c>
      <c r="D72" s="7">
        <v>86.0</v>
      </c>
      <c r="F72" s="24">
        <f t="shared" si="2"/>
        <v>0.02033333333</v>
      </c>
      <c r="H72" s="7">
        <v>3.0</v>
      </c>
    </row>
    <row r="73">
      <c r="A73" s="6" t="s">
        <v>12</v>
      </c>
      <c r="B73" s="7" t="s">
        <v>2</v>
      </c>
      <c r="C73" s="12">
        <f t="shared" si="7"/>
        <v>0.128</v>
      </c>
      <c r="D73" s="7">
        <v>26.0</v>
      </c>
      <c r="F73" s="24">
        <f t="shared" si="2"/>
        <v>0.03833333333</v>
      </c>
      <c r="H73" s="7">
        <v>3.0</v>
      </c>
    </row>
    <row r="74">
      <c r="A74" s="6" t="s">
        <v>12</v>
      </c>
      <c r="B74" s="7" t="s">
        <v>3</v>
      </c>
      <c r="C74" s="12">
        <f t="shared" si="7"/>
        <v>0.122</v>
      </c>
      <c r="D74" s="7">
        <v>30.0</v>
      </c>
      <c r="F74" s="24">
        <f t="shared" si="2"/>
        <v>0.03233333333</v>
      </c>
      <c r="H74" s="7">
        <v>3.0</v>
      </c>
    </row>
    <row r="75">
      <c r="A75" s="6" t="s">
        <v>14</v>
      </c>
      <c r="B75" s="2" t="s">
        <v>0</v>
      </c>
      <c r="C75" s="3">
        <f t="shared" ref="C75:C82" si="8">B12</f>
        <v>0.086</v>
      </c>
      <c r="D75" s="7" t="s">
        <v>39</v>
      </c>
      <c r="E75" s="23">
        <f>AVERAGE(C75,C83,C91)</f>
        <v>0.08766666667</v>
      </c>
      <c r="F75" s="24">
        <f t="shared" ref="F75:F107" si="9">C75-E$75</f>
        <v>-0.001666666667</v>
      </c>
      <c r="H75" s="7">
        <v>1.0</v>
      </c>
    </row>
    <row r="76">
      <c r="A76" s="6" t="s">
        <v>14</v>
      </c>
      <c r="B76" s="2" t="s">
        <v>2</v>
      </c>
      <c r="C76" s="3">
        <f t="shared" si="8"/>
        <v>0.127</v>
      </c>
      <c r="D76" s="7">
        <v>98.0</v>
      </c>
      <c r="F76" s="24">
        <f t="shared" si="9"/>
        <v>0.03933333333</v>
      </c>
      <c r="H76" s="7">
        <v>1.0</v>
      </c>
    </row>
    <row r="77">
      <c r="A77" s="6" t="s">
        <v>14</v>
      </c>
      <c r="B77" s="2" t="s">
        <v>3</v>
      </c>
      <c r="C77" s="3">
        <f t="shared" si="8"/>
        <v>0.131</v>
      </c>
      <c r="D77" s="7">
        <v>103.0</v>
      </c>
      <c r="F77" s="24">
        <f t="shared" si="9"/>
        <v>0.04333333333</v>
      </c>
      <c r="H77" s="7">
        <v>1.0</v>
      </c>
    </row>
    <row r="78">
      <c r="A78" s="6" t="s">
        <v>14</v>
      </c>
      <c r="B78" s="2" t="s">
        <v>4</v>
      </c>
      <c r="C78" s="3">
        <f t="shared" si="8"/>
        <v>0.109</v>
      </c>
      <c r="D78" s="7">
        <v>42.0</v>
      </c>
      <c r="F78" s="24">
        <f t="shared" si="9"/>
        <v>0.02133333333</v>
      </c>
      <c r="H78" s="7">
        <v>1.0</v>
      </c>
    </row>
    <row r="79">
      <c r="A79" s="6" t="s">
        <v>14</v>
      </c>
      <c r="B79" s="2" t="s">
        <v>5</v>
      </c>
      <c r="C79" s="3">
        <f t="shared" si="8"/>
        <v>0.167</v>
      </c>
      <c r="D79" s="7">
        <v>50.0</v>
      </c>
      <c r="F79" s="24">
        <f t="shared" si="9"/>
        <v>0.07933333333</v>
      </c>
      <c r="H79" s="7">
        <v>1.0</v>
      </c>
    </row>
    <row r="80">
      <c r="A80" s="6" t="s">
        <v>14</v>
      </c>
      <c r="B80" s="2" t="s">
        <v>6</v>
      </c>
      <c r="C80" s="3">
        <f t="shared" si="8"/>
        <v>0.105</v>
      </c>
      <c r="D80" s="7">
        <v>57.0</v>
      </c>
      <c r="F80" s="24">
        <f t="shared" si="9"/>
        <v>0.01733333333</v>
      </c>
      <c r="H80" s="7">
        <v>1.0</v>
      </c>
    </row>
    <row r="81">
      <c r="A81" s="6" t="s">
        <v>14</v>
      </c>
      <c r="B81" s="2" t="s">
        <v>7</v>
      </c>
      <c r="C81" s="3">
        <f t="shared" si="8"/>
        <v>0.145</v>
      </c>
      <c r="D81" s="7">
        <v>59.0</v>
      </c>
      <c r="F81" s="24">
        <f t="shared" si="9"/>
        <v>0.05733333333</v>
      </c>
      <c r="H81" s="7">
        <v>1.0</v>
      </c>
    </row>
    <row r="82">
      <c r="A82" s="6" t="s">
        <v>14</v>
      </c>
      <c r="B82" s="2" t="s">
        <v>8</v>
      </c>
      <c r="C82" s="3">
        <f t="shared" si="8"/>
        <v>0.106</v>
      </c>
      <c r="D82" s="7">
        <v>79.0</v>
      </c>
      <c r="F82" s="24">
        <f t="shared" si="9"/>
        <v>0.01833333333</v>
      </c>
      <c r="H82" s="7">
        <v>1.0</v>
      </c>
    </row>
    <row r="83">
      <c r="A83" s="6" t="s">
        <v>14</v>
      </c>
      <c r="B83" s="2" t="s">
        <v>0</v>
      </c>
      <c r="C83" s="3">
        <f t="shared" ref="C83:C90" si="10">C12</f>
        <v>0.089</v>
      </c>
      <c r="D83" s="7" t="s">
        <v>39</v>
      </c>
      <c r="F83" s="24">
        <f t="shared" si="9"/>
        <v>0.001333333333</v>
      </c>
      <c r="H83" s="7">
        <v>2.0</v>
      </c>
    </row>
    <row r="84">
      <c r="A84" s="6" t="s">
        <v>14</v>
      </c>
      <c r="B84" s="2" t="s">
        <v>2</v>
      </c>
      <c r="C84" s="3">
        <f t="shared" si="10"/>
        <v>0.111</v>
      </c>
      <c r="D84" s="7">
        <v>98.0</v>
      </c>
      <c r="F84" s="24">
        <f t="shared" si="9"/>
        <v>0.02333333333</v>
      </c>
      <c r="H84" s="7">
        <v>2.0</v>
      </c>
    </row>
    <row r="85">
      <c r="A85" s="6" t="s">
        <v>14</v>
      </c>
      <c r="B85" s="2" t="s">
        <v>3</v>
      </c>
      <c r="C85" s="3">
        <f t="shared" si="10"/>
        <v>0.121</v>
      </c>
      <c r="D85" s="7">
        <v>103.0</v>
      </c>
      <c r="F85" s="24">
        <f t="shared" si="9"/>
        <v>0.03333333333</v>
      </c>
      <c r="H85" s="7">
        <v>2.0</v>
      </c>
    </row>
    <row r="86">
      <c r="A86" s="6" t="s">
        <v>14</v>
      </c>
      <c r="B86" s="2" t="s">
        <v>4</v>
      </c>
      <c r="C86" s="3">
        <f t="shared" si="10"/>
        <v>0.122</v>
      </c>
      <c r="D86" s="7">
        <v>42.0</v>
      </c>
      <c r="F86" s="24">
        <f t="shared" si="9"/>
        <v>0.03433333333</v>
      </c>
      <c r="H86" s="7">
        <v>2.0</v>
      </c>
    </row>
    <row r="87">
      <c r="A87" s="6" t="s">
        <v>14</v>
      </c>
      <c r="B87" s="2" t="s">
        <v>5</v>
      </c>
      <c r="C87" s="3">
        <f t="shared" si="10"/>
        <v>0.124</v>
      </c>
      <c r="D87" s="7">
        <v>50.0</v>
      </c>
      <c r="F87" s="24">
        <f t="shared" si="9"/>
        <v>0.03633333333</v>
      </c>
      <c r="H87" s="7">
        <v>2.0</v>
      </c>
    </row>
    <row r="88">
      <c r="A88" s="6" t="s">
        <v>14</v>
      </c>
      <c r="B88" s="2" t="s">
        <v>6</v>
      </c>
      <c r="C88" s="3">
        <f t="shared" si="10"/>
        <v>0.107</v>
      </c>
      <c r="D88" s="7">
        <v>57.0</v>
      </c>
      <c r="F88" s="24">
        <f t="shared" si="9"/>
        <v>0.01933333333</v>
      </c>
      <c r="H88" s="7">
        <v>2.0</v>
      </c>
    </row>
    <row r="89">
      <c r="A89" s="6" t="s">
        <v>14</v>
      </c>
      <c r="B89" s="2" t="s">
        <v>7</v>
      </c>
      <c r="C89" s="3">
        <f t="shared" si="10"/>
        <v>0.117</v>
      </c>
      <c r="D89" s="7">
        <v>59.0</v>
      </c>
      <c r="F89" s="24">
        <f t="shared" si="9"/>
        <v>0.02933333333</v>
      </c>
      <c r="H89" s="7">
        <v>2.0</v>
      </c>
    </row>
    <row r="90">
      <c r="A90" s="6" t="s">
        <v>14</v>
      </c>
      <c r="B90" s="2" t="s">
        <v>8</v>
      </c>
      <c r="C90" s="3">
        <f t="shared" si="10"/>
        <v>0.105</v>
      </c>
      <c r="D90" s="7">
        <v>79.0</v>
      </c>
      <c r="F90" s="24">
        <f t="shared" si="9"/>
        <v>0.01733333333</v>
      </c>
      <c r="H90" s="7">
        <v>2.0</v>
      </c>
    </row>
    <row r="91">
      <c r="A91" s="6" t="s">
        <v>14</v>
      </c>
      <c r="B91" s="2" t="s">
        <v>0</v>
      </c>
      <c r="C91" s="3">
        <f t="shared" ref="C91:C98" si="11">D12</f>
        <v>0.088</v>
      </c>
      <c r="D91" s="7" t="s">
        <v>39</v>
      </c>
      <c r="F91" s="24">
        <f t="shared" si="9"/>
        <v>0.0003333333333</v>
      </c>
      <c r="H91" s="7">
        <v>3.0</v>
      </c>
    </row>
    <row r="92">
      <c r="A92" s="6" t="s">
        <v>14</v>
      </c>
      <c r="B92" s="2" t="s">
        <v>2</v>
      </c>
      <c r="C92" s="3">
        <f t="shared" si="11"/>
        <v>0.12</v>
      </c>
      <c r="D92" s="7">
        <v>98.0</v>
      </c>
      <c r="F92" s="24">
        <f t="shared" si="9"/>
        <v>0.03233333333</v>
      </c>
      <c r="H92" s="7">
        <v>3.0</v>
      </c>
    </row>
    <row r="93">
      <c r="A93" s="6" t="s">
        <v>14</v>
      </c>
      <c r="B93" s="2" t="s">
        <v>3</v>
      </c>
      <c r="C93" s="3">
        <f t="shared" si="11"/>
        <v>0.115</v>
      </c>
      <c r="D93" s="7">
        <v>103.0</v>
      </c>
      <c r="F93" s="24">
        <f t="shared" si="9"/>
        <v>0.02733333333</v>
      </c>
      <c r="H93" s="7">
        <v>3.0</v>
      </c>
    </row>
    <row r="94">
      <c r="A94" s="6" t="s">
        <v>14</v>
      </c>
      <c r="B94" s="2" t="s">
        <v>4</v>
      </c>
      <c r="C94" s="3">
        <f t="shared" si="11"/>
        <v>0.113</v>
      </c>
      <c r="D94" s="7">
        <v>42.0</v>
      </c>
      <c r="F94" s="24">
        <f t="shared" si="9"/>
        <v>0.02533333333</v>
      </c>
      <c r="H94" s="7">
        <v>3.0</v>
      </c>
    </row>
    <row r="95">
      <c r="A95" s="6" t="s">
        <v>14</v>
      </c>
      <c r="B95" s="2" t="s">
        <v>5</v>
      </c>
      <c r="C95" s="3">
        <f t="shared" si="11"/>
        <v>0.108</v>
      </c>
      <c r="D95" s="7">
        <v>50.0</v>
      </c>
      <c r="F95" s="24">
        <f t="shared" si="9"/>
        <v>0.02033333333</v>
      </c>
      <c r="H95" s="7">
        <v>3.0</v>
      </c>
    </row>
    <row r="96">
      <c r="A96" s="6" t="s">
        <v>14</v>
      </c>
      <c r="B96" s="2" t="s">
        <v>6</v>
      </c>
      <c r="C96" s="3">
        <f t="shared" si="11"/>
        <v>0.113</v>
      </c>
      <c r="D96" s="7">
        <v>57.0</v>
      </c>
      <c r="F96" s="24">
        <f t="shared" si="9"/>
        <v>0.02533333333</v>
      </c>
      <c r="H96" s="7">
        <v>3.0</v>
      </c>
    </row>
    <row r="97">
      <c r="A97" s="6" t="s">
        <v>14</v>
      </c>
      <c r="B97" s="2" t="s">
        <v>7</v>
      </c>
      <c r="C97" s="3">
        <f t="shared" si="11"/>
        <v>0.113</v>
      </c>
      <c r="D97" s="7">
        <v>59.0</v>
      </c>
      <c r="F97" s="24">
        <f t="shared" si="9"/>
        <v>0.02533333333</v>
      </c>
      <c r="H97" s="7">
        <v>3.0</v>
      </c>
    </row>
    <row r="98">
      <c r="A98" s="6" t="s">
        <v>14</v>
      </c>
      <c r="B98" s="2" t="s">
        <v>8</v>
      </c>
      <c r="C98" s="3">
        <f t="shared" si="11"/>
        <v>0.11</v>
      </c>
      <c r="D98" s="7">
        <v>79.0</v>
      </c>
      <c r="F98" s="24">
        <f t="shared" si="9"/>
        <v>0.02233333333</v>
      </c>
      <c r="H98" s="7">
        <v>3.0</v>
      </c>
    </row>
    <row r="99">
      <c r="A99" s="6" t="s">
        <v>14</v>
      </c>
      <c r="B99" s="7" t="s">
        <v>0</v>
      </c>
      <c r="C99" s="8">
        <f t="shared" ref="C99:C101" si="12">E12</f>
        <v>0.114</v>
      </c>
      <c r="D99" s="7">
        <v>86.0</v>
      </c>
      <c r="F99" s="24">
        <f t="shared" si="9"/>
        <v>0.02633333333</v>
      </c>
      <c r="H99" s="7">
        <v>1.0</v>
      </c>
    </row>
    <row r="100">
      <c r="A100" s="6" t="s">
        <v>14</v>
      </c>
      <c r="B100" s="7" t="s">
        <v>2</v>
      </c>
      <c r="C100" s="8">
        <f t="shared" si="12"/>
        <v>0.11</v>
      </c>
      <c r="D100" s="7">
        <v>26.0</v>
      </c>
      <c r="F100" s="24">
        <f t="shared" si="9"/>
        <v>0.02233333333</v>
      </c>
      <c r="H100" s="7">
        <v>1.0</v>
      </c>
    </row>
    <row r="101">
      <c r="A101" s="6" t="s">
        <v>14</v>
      </c>
      <c r="B101" s="7" t="s">
        <v>3</v>
      </c>
      <c r="C101" s="8">
        <f t="shared" si="12"/>
        <v>0.173</v>
      </c>
      <c r="D101" s="7">
        <v>30.0</v>
      </c>
      <c r="F101" s="24">
        <f t="shared" si="9"/>
        <v>0.08533333333</v>
      </c>
      <c r="H101" s="7">
        <v>1.0</v>
      </c>
    </row>
    <row r="102">
      <c r="A102" s="6" t="s">
        <v>14</v>
      </c>
      <c r="B102" s="7" t="s">
        <v>0</v>
      </c>
      <c r="C102" s="8">
        <f t="shared" ref="C102:C104" si="13">F12</f>
        <v>0.117</v>
      </c>
      <c r="D102" s="7">
        <v>86.0</v>
      </c>
      <c r="F102" s="24">
        <f t="shared" si="9"/>
        <v>0.02933333333</v>
      </c>
      <c r="H102" s="7">
        <v>2.0</v>
      </c>
    </row>
    <row r="103">
      <c r="A103" s="6" t="s">
        <v>14</v>
      </c>
      <c r="B103" s="7" t="s">
        <v>2</v>
      </c>
      <c r="C103" s="8">
        <f t="shared" si="13"/>
        <v>0.117</v>
      </c>
      <c r="D103" s="7">
        <v>26.0</v>
      </c>
      <c r="F103" s="24">
        <f t="shared" si="9"/>
        <v>0.02933333333</v>
      </c>
      <c r="H103" s="7">
        <v>2.0</v>
      </c>
    </row>
    <row r="104">
      <c r="A104" s="6" t="s">
        <v>14</v>
      </c>
      <c r="B104" s="7" t="s">
        <v>3</v>
      </c>
      <c r="C104" s="8">
        <f t="shared" si="13"/>
        <v>0.12</v>
      </c>
      <c r="D104" s="7">
        <v>30.0</v>
      </c>
      <c r="F104" s="24">
        <f t="shared" si="9"/>
        <v>0.03233333333</v>
      </c>
      <c r="H104" s="7">
        <v>2.0</v>
      </c>
    </row>
    <row r="105">
      <c r="A105" s="6" t="s">
        <v>14</v>
      </c>
      <c r="B105" s="7" t="s">
        <v>0</v>
      </c>
      <c r="C105" s="9">
        <f t="shared" ref="C105:C107" si="14">G12</f>
        <v>0.102</v>
      </c>
      <c r="D105" s="7">
        <v>86.0</v>
      </c>
      <c r="F105" s="24">
        <f t="shared" si="9"/>
        <v>0.01433333333</v>
      </c>
      <c r="H105" s="7">
        <v>3.0</v>
      </c>
    </row>
    <row r="106">
      <c r="A106" s="6" t="s">
        <v>14</v>
      </c>
      <c r="B106" s="7" t="s">
        <v>2</v>
      </c>
      <c r="C106" s="9">
        <f t="shared" si="14"/>
        <v>0.126</v>
      </c>
      <c r="D106" s="7">
        <v>26.0</v>
      </c>
      <c r="F106" s="24">
        <f t="shared" si="9"/>
        <v>0.03833333333</v>
      </c>
      <c r="H106" s="7">
        <v>3.0</v>
      </c>
    </row>
    <row r="107">
      <c r="A107" s="6" t="s">
        <v>14</v>
      </c>
      <c r="B107" s="7" t="s">
        <v>3</v>
      </c>
      <c r="C107" s="9">
        <f t="shared" si="14"/>
        <v>0.117</v>
      </c>
      <c r="D107" s="7">
        <v>30.0</v>
      </c>
      <c r="F107" s="24">
        <f t="shared" si="9"/>
        <v>0.02933333333</v>
      </c>
      <c r="H107" s="7">
        <v>3.0</v>
      </c>
    </row>
    <row r="108">
      <c r="A108" s="6" t="s">
        <v>16</v>
      </c>
      <c r="B108" s="2" t="s">
        <v>0</v>
      </c>
      <c r="C108" s="3">
        <f t="shared" ref="C108:C115" si="15">B22</f>
        <v>0.085</v>
      </c>
      <c r="D108" s="7" t="s">
        <v>39</v>
      </c>
      <c r="E108" s="23">
        <f>AVERAGE(C108,C116,C124)</f>
        <v>0.08666666667</v>
      </c>
      <c r="F108" s="24">
        <f t="shared" ref="F108:F140" si="16">C108-E$108</f>
        <v>-0.001666666667</v>
      </c>
      <c r="H108" s="7">
        <v>1.0</v>
      </c>
    </row>
    <row r="109">
      <c r="A109" s="6" t="s">
        <v>16</v>
      </c>
      <c r="B109" s="2" t="s">
        <v>2</v>
      </c>
      <c r="C109" s="3">
        <f t="shared" si="15"/>
        <v>0.184</v>
      </c>
      <c r="D109" s="7">
        <v>98.0</v>
      </c>
      <c r="F109" s="24">
        <f t="shared" si="16"/>
        <v>0.09733333333</v>
      </c>
      <c r="H109" s="7">
        <v>1.0</v>
      </c>
    </row>
    <row r="110">
      <c r="A110" s="6" t="s">
        <v>16</v>
      </c>
      <c r="B110" s="2" t="s">
        <v>3</v>
      </c>
      <c r="C110" s="3">
        <f t="shared" si="15"/>
        <v>0.2</v>
      </c>
      <c r="D110" s="7">
        <v>103.0</v>
      </c>
      <c r="F110" s="24">
        <f t="shared" si="16"/>
        <v>0.1133333333</v>
      </c>
      <c r="H110" s="7">
        <v>1.0</v>
      </c>
    </row>
    <row r="111">
      <c r="A111" s="6" t="s">
        <v>16</v>
      </c>
      <c r="B111" s="2" t="s">
        <v>4</v>
      </c>
      <c r="C111" s="3">
        <f t="shared" si="15"/>
        <v>0.147</v>
      </c>
      <c r="D111" s="7">
        <v>42.0</v>
      </c>
      <c r="F111" s="24">
        <f t="shared" si="16"/>
        <v>0.06033333333</v>
      </c>
      <c r="H111" s="7">
        <v>1.0</v>
      </c>
    </row>
    <row r="112">
      <c r="A112" s="6" t="s">
        <v>16</v>
      </c>
      <c r="B112" s="2" t="s">
        <v>5</v>
      </c>
      <c r="C112" s="3">
        <f t="shared" si="15"/>
        <v>0.195</v>
      </c>
      <c r="D112" s="7">
        <v>50.0</v>
      </c>
      <c r="F112" s="24">
        <f t="shared" si="16"/>
        <v>0.1083333333</v>
      </c>
      <c r="H112" s="7">
        <v>1.0</v>
      </c>
    </row>
    <row r="113">
      <c r="A113" s="6" t="s">
        <v>16</v>
      </c>
      <c r="B113" s="2" t="s">
        <v>6</v>
      </c>
      <c r="C113" s="3">
        <f t="shared" si="15"/>
        <v>0.132</v>
      </c>
      <c r="D113" s="7">
        <v>57.0</v>
      </c>
      <c r="F113" s="24">
        <f t="shared" si="16"/>
        <v>0.04533333333</v>
      </c>
      <c r="H113" s="7">
        <v>1.0</v>
      </c>
    </row>
    <row r="114">
      <c r="A114" s="6" t="s">
        <v>16</v>
      </c>
      <c r="B114" s="2" t="s">
        <v>7</v>
      </c>
      <c r="C114" s="3">
        <f t="shared" si="15"/>
        <v>0.2</v>
      </c>
      <c r="D114" s="7">
        <v>59.0</v>
      </c>
      <c r="F114" s="24">
        <f t="shared" si="16"/>
        <v>0.1133333333</v>
      </c>
      <c r="H114" s="7">
        <v>1.0</v>
      </c>
    </row>
    <row r="115">
      <c r="A115" s="6" t="s">
        <v>16</v>
      </c>
      <c r="B115" s="2" t="s">
        <v>8</v>
      </c>
      <c r="C115" s="3">
        <f t="shared" si="15"/>
        <v>0.132</v>
      </c>
      <c r="D115" s="7">
        <v>79.0</v>
      </c>
      <c r="F115" s="24">
        <f t="shared" si="16"/>
        <v>0.04533333333</v>
      </c>
      <c r="H115" s="7">
        <v>1.0</v>
      </c>
    </row>
    <row r="116">
      <c r="A116" s="6" t="s">
        <v>16</v>
      </c>
      <c r="B116" s="2" t="s">
        <v>0</v>
      </c>
      <c r="C116" s="3">
        <f t="shared" ref="C116:C123" si="17">C22</f>
        <v>0.088</v>
      </c>
      <c r="D116" s="7" t="s">
        <v>39</v>
      </c>
      <c r="F116" s="24">
        <f t="shared" si="16"/>
        <v>0.001333333333</v>
      </c>
      <c r="H116" s="7">
        <v>2.0</v>
      </c>
    </row>
    <row r="117">
      <c r="A117" s="6" t="s">
        <v>16</v>
      </c>
      <c r="B117" s="2" t="s">
        <v>2</v>
      </c>
      <c r="C117" s="3">
        <f t="shared" si="17"/>
        <v>0.144</v>
      </c>
      <c r="D117" s="7">
        <v>98.0</v>
      </c>
      <c r="F117" s="24">
        <f t="shared" si="16"/>
        <v>0.05733333333</v>
      </c>
      <c r="H117" s="7">
        <v>2.0</v>
      </c>
    </row>
    <row r="118">
      <c r="A118" s="6" t="s">
        <v>16</v>
      </c>
      <c r="B118" s="2" t="s">
        <v>3</v>
      </c>
      <c r="C118" s="3">
        <f t="shared" si="17"/>
        <v>0.163</v>
      </c>
      <c r="D118" s="7">
        <v>103.0</v>
      </c>
      <c r="F118" s="24">
        <f t="shared" si="16"/>
        <v>0.07633333333</v>
      </c>
      <c r="H118" s="7">
        <v>2.0</v>
      </c>
    </row>
    <row r="119">
      <c r="A119" s="6" t="s">
        <v>16</v>
      </c>
      <c r="B119" s="2" t="s">
        <v>4</v>
      </c>
      <c r="C119" s="3">
        <f t="shared" si="17"/>
        <v>0.185</v>
      </c>
      <c r="D119" s="7">
        <v>42.0</v>
      </c>
      <c r="F119" s="24">
        <f t="shared" si="16"/>
        <v>0.09833333333</v>
      </c>
      <c r="H119" s="7">
        <v>2.0</v>
      </c>
    </row>
    <row r="120">
      <c r="A120" s="6" t="s">
        <v>16</v>
      </c>
      <c r="B120" s="2" t="s">
        <v>5</v>
      </c>
      <c r="C120" s="3">
        <f t="shared" si="17"/>
        <v>0.143</v>
      </c>
      <c r="D120" s="7">
        <v>50.0</v>
      </c>
      <c r="F120" s="24">
        <f t="shared" si="16"/>
        <v>0.05633333333</v>
      </c>
      <c r="H120" s="7">
        <v>2.0</v>
      </c>
    </row>
    <row r="121">
      <c r="A121" s="6" t="s">
        <v>16</v>
      </c>
      <c r="B121" s="2" t="s">
        <v>6</v>
      </c>
      <c r="C121" s="3">
        <f t="shared" si="17"/>
        <v>0.144</v>
      </c>
      <c r="D121" s="7">
        <v>57.0</v>
      </c>
      <c r="F121" s="24">
        <f t="shared" si="16"/>
        <v>0.05733333333</v>
      </c>
      <c r="H121" s="7">
        <v>2.0</v>
      </c>
    </row>
    <row r="122">
      <c r="A122" s="6" t="s">
        <v>16</v>
      </c>
      <c r="B122" s="2" t="s">
        <v>7</v>
      </c>
      <c r="C122" s="3">
        <f t="shared" si="17"/>
        <v>0.167</v>
      </c>
      <c r="D122" s="7">
        <v>59.0</v>
      </c>
      <c r="F122" s="24">
        <f t="shared" si="16"/>
        <v>0.08033333333</v>
      </c>
      <c r="H122" s="7">
        <v>2.0</v>
      </c>
    </row>
    <row r="123">
      <c r="A123" s="6" t="s">
        <v>16</v>
      </c>
      <c r="B123" s="2" t="s">
        <v>8</v>
      </c>
      <c r="C123" s="3">
        <f t="shared" si="17"/>
        <v>0.134</v>
      </c>
      <c r="D123" s="7">
        <v>79.0</v>
      </c>
      <c r="F123" s="24">
        <f t="shared" si="16"/>
        <v>0.04733333333</v>
      </c>
      <c r="H123" s="7">
        <v>2.0</v>
      </c>
    </row>
    <row r="124">
      <c r="A124" s="6" t="s">
        <v>16</v>
      </c>
      <c r="B124" s="2" t="s">
        <v>0</v>
      </c>
      <c r="C124" s="3">
        <f t="shared" ref="C124:C131" si="18">D22</f>
        <v>0.087</v>
      </c>
      <c r="D124" s="7" t="s">
        <v>39</v>
      </c>
      <c r="F124" s="24">
        <f t="shared" si="16"/>
        <v>0.0003333333333</v>
      </c>
      <c r="H124" s="7">
        <v>3.0</v>
      </c>
    </row>
    <row r="125">
      <c r="A125" s="6" t="s">
        <v>16</v>
      </c>
      <c r="B125" s="2" t="s">
        <v>2</v>
      </c>
      <c r="C125" s="3">
        <f t="shared" si="18"/>
        <v>0.17</v>
      </c>
      <c r="D125" s="7">
        <v>98.0</v>
      </c>
      <c r="F125" s="24">
        <f t="shared" si="16"/>
        <v>0.08333333333</v>
      </c>
      <c r="H125" s="7">
        <v>3.0</v>
      </c>
    </row>
    <row r="126">
      <c r="A126" s="6" t="s">
        <v>16</v>
      </c>
      <c r="B126" s="2" t="s">
        <v>3</v>
      </c>
      <c r="C126" s="3">
        <f t="shared" si="18"/>
        <v>0.161</v>
      </c>
      <c r="D126" s="7">
        <v>103.0</v>
      </c>
      <c r="F126" s="24">
        <f t="shared" si="16"/>
        <v>0.07433333333</v>
      </c>
      <c r="H126" s="7">
        <v>3.0</v>
      </c>
    </row>
    <row r="127">
      <c r="A127" s="6" t="s">
        <v>16</v>
      </c>
      <c r="B127" s="2" t="s">
        <v>4</v>
      </c>
      <c r="C127" s="3">
        <f t="shared" si="18"/>
        <v>0.157</v>
      </c>
      <c r="D127" s="7">
        <v>42.0</v>
      </c>
      <c r="F127" s="24">
        <f t="shared" si="16"/>
        <v>0.07033333333</v>
      </c>
      <c r="H127" s="7">
        <v>3.0</v>
      </c>
    </row>
    <row r="128">
      <c r="A128" s="6" t="s">
        <v>16</v>
      </c>
      <c r="B128" s="2" t="s">
        <v>5</v>
      </c>
      <c r="C128" s="3">
        <f t="shared" si="18"/>
        <v>0.133</v>
      </c>
      <c r="D128" s="7">
        <v>50.0</v>
      </c>
      <c r="F128" s="24">
        <f t="shared" si="16"/>
        <v>0.04633333333</v>
      </c>
      <c r="H128" s="7">
        <v>3.0</v>
      </c>
    </row>
    <row r="129">
      <c r="A129" s="6" t="s">
        <v>16</v>
      </c>
      <c r="B129" s="2" t="s">
        <v>6</v>
      </c>
      <c r="C129" s="3">
        <f t="shared" si="18"/>
        <v>0.142</v>
      </c>
      <c r="D129" s="7">
        <v>57.0</v>
      </c>
      <c r="F129" s="24">
        <f t="shared" si="16"/>
        <v>0.05533333333</v>
      </c>
      <c r="H129" s="7">
        <v>3.0</v>
      </c>
    </row>
    <row r="130">
      <c r="A130" s="6" t="s">
        <v>16</v>
      </c>
      <c r="B130" s="2" t="s">
        <v>7</v>
      </c>
      <c r="C130" s="3">
        <f t="shared" si="18"/>
        <v>0.15</v>
      </c>
      <c r="D130" s="7">
        <v>59.0</v>
      </c>
      <c r="F130" s="24">
        <f t="shared" si="16"/>
        <v>0.06333333333</v>
      </c>
      <c r="H130" s="7">
        <v>3.0</v>
      </c>
    </row>
    <row r="131">
      <c r="A131" s="6" t="s">
        <v>16</v>
      </c>
      <c r="B131" s="2" t="s">
        <v>8</v>
      </c>
      <c r="C131" s="3">
        <f t="shared" si="18"/>
        <v>0.143</v>
      </c>
      <c r="D131" s="7">
        <v>79.0</v>
      </c>
      <c r="F131" s="24">
        <f t="shared" si="16"/>
        <v>0.05633333333</v>
      </c>
      <c r="H131" s="7">
        <v>3.0</v>
      </c>
    </row>
    <row r="132">
      <c r="A132" s="6" t="s">
        <v>16</v>
      </c>
      <c r="B132" s="7" t="s">
        <v>0</v>
      </c>
      <c r="C132" s="15">
        <f t="shared" ref="C132:C134" si="19">E22</f>
        <v>0.148</v>
      </c>
      <c r="D132" s="7">
        <v>86.0</v>
      </c>
      <c r="F132" s="24">
        <f t="shared" si="16"/>
        <v>0.06133333333</v>
      </c>
      <c r="H132" s="7">
        <v>1.0</v>
      </c>
    </row>
    <row r="133">
      <c r="A133" s="6" t="s">
        <v>16</v>
      </c>
      <c r="B133" s="7" t="s">
        <v>2</v>
      </c>
      <c r="C133" s="15">
        <f t="shared" si="19"/>
        <v>0.147</v>
      </c>
      <c r="D133" s="7">
        <v>26.0</v>
      </c>
      <c r="F133" s="24">
        <f t="shared" si="16"/>
        <v>0.06033333333</v>
      </c>
      <c r="H133" s="7">
        <v>1.0</v>
      </c>
    </row>
    <row r="134">
      <c r="A134" s="6" t="s">
        <v>16</v>
      </c>
      <c r="B134" s="7" t="s">
        <v>3</v>
      </c>
      <c r="C134" s="15">
        <f t="shared" si="19"/>
        <v>0.218</v>
      </c>
      <c r="D134" s="7">
        <v>30.0</v>
      </c>
      <c r="F134" s="24">
        <f t="shared" si="16"/>
        <v>0.1313333333</v>
      </c>
      <c r="H134" s="7">
        <v>1.0</v>
      </c>
    </row>
    <row r="135">
      <c r="A135" s="6" t="s">
        <v>16</v>
      </c>
      <c r="B135" s="7" t="s">
        <v>0</v>
      </c>
      <c r="C135" s="14">
        <f t="shared" ref="C135:C137" si="20">F22</f>
        <v>0.153</v>
      </c>
      <c r="D135" s="7">
        <v>86.0</v>
      </c>
      <c r="F135" s="24">
        <f t="shared" si="16"/>
        <v>0.06633333333</v>
      </c>
      <c r="H135" s="7">
        <v>2.0</v>
      </c>
    </row>
    <row r="136">
      <c r="A136" s="6" t="s">
        <v>16</v>
      </c>
      <c r="B136" s="7" t="s">
        <v>2</v>
      </c>
      <c r="C136" s="14">
        <f t="shared" si="20"/>
        <v>0.172</v>
      </c>
      <c r="D136" s="7">
        <v>26.0</v>
      </c>
      <c r="F136" s="24">
        <f t="shared" si="16"/>
        <v>0.08533333333</v>
      </c>
      <c r="H136" s="7">
        <v>2.0</v>
      </c>
    </row>
    <row r="137">
      <c r="A137" s="6" t="s">
        <v>16</v>
      </c>
      <c r="B137" s="7" t="s">
        <v>3</v>
      </c>
      <c r="C137" s="14">
        <f t="shared" si="20"/>
        <v>0.177</v>
      </c>
      <c r="D137" s="7">
        <v>30.0</v>
      </c>
      <c r="F137" s="24">
        <f t="shared" si="16"/>
        <v>0.09033333333</v>
      </c>
      <c r="H137" s="7">
        <v>2.0</v>
      </c>
    </row>
    <row r="138">
      <c r="A138" s="6" t="s">
        <v>16</v>
      </c>
      <c r="B138" s="7" t="s">
        <v>0</v>
      </c>
      <c r="C138" s="8">
        <f t="shared" ref="C138:C140" si="21">G22</f>
        <v>0.127</v>
      </c>
      <c r="D138" s="7">
        <v>86.0</v>
      </c>
      <c r="F138" s="24">
        <f t="shared" si="16"/>
        <v>0.04033333333</v>
      </c>
      <c r="H138" s="7">
        <v>3.0</v>
      </c>
    </row>
    <row r="139">
      <c r="A139" s="6" t="s">
        <v>16</v>
      </c>
      <c r="B139" s="7" t="s">
        <v>2</v>
      </c>
      <c r="C139" s="8">
        <f t="shared" si="21"/>
        <v>0.173</v>
      </c>
      <c r="D139" s="7">
        <v>26.0</v>
      </c>
      <c r="F139" s="24">
        <f t="shared" si="16"/>
        <v>0.08633333333</v>
      </c>
      <c r="H139" s="7">
        <v>3.0</v>
      </c>
    </row>
    <row r="140">
      <c r="A140" s="6" t="s">
        <v>16</v>
      </c>
      <c r="B140" s="7" t="s">
        <v>3</v>
      </c>
      <c r="C140" s="8">
        <f t="shared" si="21"/>
        <v>0.168</v>
      </c>
      <c r="D140" s="7">
        <v>30.0</v>
      </c>
      <c r="F140" s="24">
        <f t="shared" si="16"/>
        <v>0.08133333333</v>
      </c>
      <c r="H140" s="7">
        <v>3.0</v>
      </c>
    </row>
    <row r="141">
      <c r="A141" s="6" t="s">
        <v>18</v>
      </c>
      <c r="B141" s="2" t="s">
        <v>0</v>
      </c>
      <c r="C141" s="3">
        <f t="shared" ref="C141:C148" si="22">B32</f>
        <v>0.085</v>
      </c>
      <c r="D141" s="7" t="s">
        <v>39</v>
      </c>
      <c r="E141" s="23">
        <f>AVERAGE(C141,C149,C157)</f>
        <v>0.08633333333</v>
      </c>
      <c r="F141" s="24">
        <f t="shared" ref="F141:F173" si="23">C141-E$141</f>
        <v>-0.001333333333</v>
      </c>
      <c r="H141" s="7">
        <v>1.0</v>
      </c>
    </row>
    <row r="142">
      <c r="A142" s="6" t="s">
        <v>18</v>
      </c>
      <c r="B142" s="2" t="s">
        <v>2</v>
      </c>
      <c r="C142" s="3">
        <f t="shared" si="22"/>
        <v>0.096</v>
      </c>
      <c r="D142" s="7">
        <v>98.0</v>
      </c>
      <c r="F142" s="24">
        <f t="shared" si="23"/>
        <v>0.009666666667</v>
      </c>
      <c r="H142" s="7">
        <v>1.0</v>
      </c>
    </row>
    <row r="143">
      <c r="A143" s="6" t="s">
        <v>18</v>
      </c>
      <c r="B143" s="2" t="s">
        <v>3</v>
      </c>
      <c r="C143" s="3">
        <f t="shared" si="22"/>
        <v>0.097</v>
      </c>
      <c r="D143" s="7">
        <v>103.0</v>
      </c>
      <c r="F143" s="24">
        <f t="shared" si="23"/>
        <v>0.01066666667</v>
      </c>
      <c r="H143" s="7">
        <v>1.0</v>
      </c>
    </row>
    <row r="144">
      <c r="A144" s="6" t="s">
        <v>18</v>
      </c>
      <c r="B144" s="2" t="s">
        <v>4</v>
      </c>
      <c r="C144" s="3">
        <f t="shared" si="22"/>
        <v>0.088</v>
      </c>
      <c r="D144" s="7">
        <v>42.0</v>
      </c>
      <c r="F144" s="24">
        <f t="shared" si="23"/>
        <v>0.001666666667</v>
      </c>
      <c r="H144" s="7">
        <v>1.0</v>
      </c>
    </row>
    <row r="145">
      <c r="A145" s="6" t="s">
        <v>18</v>
      </c>
      <c r="B145" s="2" t="s">
        <v>5</v>
      </c>
      <c r="C145" s="3">
        <f t="shared" si="22"/>
        <v>0.145</v>
      </c>
      <c r="D145" s="7">
        <v>50.0</v>
      </c>
      <c r="F145" s="24">
        <f t="shared" si="23"/>
        <v>0.05866666667</v>
      </c>
      <c r="H145" s="7">
        <v>1.0</v>
      </c>
    </row>
    <row r="146">
      <c r="A146" s="6" t="s">
        <v>18</v>
      </c>
      <c r="B146" s="2" t="s">
        <v>6</v>
      </c>
      <c r="C146" s="3">
        <f t="shared" si="22"/>
        <v>0.092</v>
      </c>
      <c r="D146" s="7">
        <v>57.0</v>
      </c>
      <c r="F146" s="24">
        <f t="shared" si="23"/>
        <v>0.005666666667</v>
      </c>
      <c r="H146" s="7">
        <v>1.0</v>
      </c>
    </row>
    <row r="147">
      <c r="A147" s="6" t="s">
        <v>18</v>
      </c>
      <c r="B147" s="2" t="s">
        <v>7</v>
      </c>
      <c r="C147" s="3">
        <f t="shared" si="22"/>
        <v>0.114</v>
      </c>
      <c r="D147" s="7">
        <v>59.0</v>
      </c>
      <c r="F147" s="24">
        <f t="shared" si="23"/>
        <v>0.02766666667</v>
      </c>
      <c r="H147" s="7">
        <v>1.0</v>
      </c>
    </row>
    <row r="148">
      <c r="A148" s="6" t="s">
        <v>18</v>
      </c>
      <c r="B148" s="2" t="s">
        <v>8</v>
      </c>
      <c r="C148" s="3">
        <f t="shared" si="22"/>
        <v>0.089</v>
      </c>
      <c r="D148" s="7">
        <v>79.0</v>
      </c>
      <c r="F148" s="24">
        <f t="shared" si="23"/>
        <v>0.002666666667</v>
      </c>
      <c r="H148" s="7">
        <v>1.0</v>
      </c>
    </row>
    <row r="149">
      <c r="A149" s="6" t="s">
        <v>18</v>
      </c>
      <c r="B149" s="2" t="s">
        <v>0</v>
      </c>
      <c r="C149" s="3">
        <f t="shared" ref="C149:C156" si="24">C32</f>
        <v>0.087</v>
      </c>
      <c r="D149" s="7" t="s">
        <v>39</v>
      </c>
      <c r="F149" s="24">
        <f t="shared" si="23"/>
        <v>0.0006666666667</v>
      </c>
      <c r="H149" s="7">
        <v>2.0</v>
      </c>
    </row>
    <row r="150">
      <c r="A150" s="6" t="s">
        <v>18</v>
      </c>
      <c r="B150" s="2" t="s">
        <v>2</v>
      </c>
      <c r="C150" s="3">
        <f t="shared" si="24"/>
        <v>0.094</v>
      </c>
      <c r="D150" s="7">
        <v>98.0</v>
      </c>
      <c r="F150" s="24">
        <f t="shared" si="23"/>
        <v>0.007666666667</v>
      </c>
      <c r="H150" s="7">
        <v>2.0</v>
      </c>
    </row>
    <row r="151">
      <c r="A151" s="6" t="s">
        <v>18</v>
      </c>
      <c r="B151" s="2" t="s">
        <v>3</v>
      </c>
      <c r="C151" s="3">
        <f t="shared" si="24"/>
        <v>0.098</v>
      </c>
      <c r="D151" s="7">
        <v>103.0</v>
      </c>
      <c r="F151" s="24">
        <f t="shared" si="23"/>
        <v>0.01166666667</v>
      </c>
      <c r="H151" s="7">
        <v>2.0</v>
      </c>
    </row>
    <row r="152">
      <c r="A152" s="6" t="s">
        <v>18</v>
      </c>
      <c r="B152" s="2" t="s">
        <v>4</v>
      </c>
      <c r="C152" s="3">
        <f t="shared" si="24"/>
        <v>0.089</v>
      </c>
      <c r="D152" s="7">
        <v>42.0</v>
      </c>
      <c r="F152" s="24">
        <f t="shared" si="23"/>
        <v>0.002666666667</v>
      </c>
      <c r="H152" s="7">
        <v>2.0</v>
      </c>
    </row>
    <row r="153">
      <c r="A153" s="6" t="s">
        <v>18</v>
      </c>
      <c r="B153" s="2" t="s">
        <v>5</v>
      </c>
      <c r="C153" s="3">
        <f t="shared" si="24"/>
        <v>0.109</v>
      </c>
      <c r="D153" s="7">
        <v>50.0</v>
      </c>
      <c r="F153" s="24">
        <f t="shared" si="23"/>
        <v>0.02266666667</v>
      </c>
      <c r="H153" s="7">
        <v>2.0</v>
      </c>
    </row>
    <row r="154">
      <c r="A154" s="6" t="s">
        <v>18</v>
      </c>
      <c r="B154" s="2" t="s">
        <v>6</v>
      </c>
      <c r="C154" s="3">
        <f t="shared" si="24"/>
        <v>0.089</v>
      </c>
      <c r="D154" s="7">
        <v>57.0</v>
      </c>
      <c r="F154" s="24">
        <f t="shared" si="23"/>
        <v>0.002666666667</v>
      </c>
      <c r="H154" s="7">
        <v>2.0</v>
      </c>
    </row>
    <row r="155">
      <c r="A155" s="6" t="s">
        <v>18</v>
      </c>
      <c r="B155" s="2" t="s">
        <v>7</v>
      </c>
      <c r="C155" s="3">
        <f t="shared" si="24"/>
        <v>0.091</v>
      </c>
      <c r="D155" s="7">
        <v>59.0</v>
      </c>
      <c r="F155" s="24">
        <f t="shared" si="23"/>
        <v>0.004666666667</v>
      </c>
      <c r="H155" s="7">
        <v>2.0</v>
      </c>
    </row>
    <row r="156">
      <c r="A156" s="6" t="s">
        <v>18</v>
      </c>
      <c r="B156" s="2" t="s">
        <v>8</v>
      </c>
      <c r="C156" s="3">
        <f t="shared" si="24"/>
        <v>0.087</v>
      </c>
      <c r="D156" s="7">
        <v>79.0</v>
      </c>
      <c r="F156" s="24">
        <f t="shared" si="23"/>
        <v>0.0006666666667</v>
      </c>
      <c r="H156" s="7">
        <v>2.0</v>
      </c>
    </row>
    <row r="157">
      <c r="A157" s="6" t="s">
        <v>18</v>
      </c>
      <c r="B157" s="2" t="s">
        <v>0</v>
      </c>
      <c r="C157" s="4">
        <f t="shared" ref="C157:C164" si="25">D32</f>
        <v>0.087</v>
      </c>
      <c r="D157" s="7" t="s">
        <v>39</v>
      </c>
      <c r="F157" s="24">
        <f t="shared" si="23"/>
        <v>0.0006666666667</v>
      </c>
      <c r="H157" s="7">
        <v>3.0</v>
      </c>
    </row>
    <row r="158">
      <c r="A158" s="6" t="s">
        <v>18</v>
      </c>
      <c r="B158" s="2" t="s">
        <v>2</v>
      </c>
      <c r="C158" s="4">
        <f t="shared" si="25"/>
        <v>0.093</v>
      </c>
      <c r="D158" s="7">
        <v>98.0</v>
      </c>
      <c r="F158" s="24">
        <f t="shared" si="23"/>
        <v>0.006666666667</v>
      </c>
      <c r="H158" s="7">
        <v>3.0</v>
      </c>
    </row>
    <row r="159">
      <c r="A159" s="6" t="s">
        <v>18</v>
      </c>
      <c r="B159" s="2" t="s">
        <v>3</v>
      </c>
      <c r="C159" s="4">
        <f t="shared" si="25"/>
        <v>0.092</v>
      </c>
      <c r="D159" s="7">
        <v>103.0</v>
      </c>
      <c r="F159" s="24">
        <f t="shared" si="23"/>
        <v>0.005666666667</v>
      </c>
      <c r="H159" s="7">
        <v>3.0</v>
      </c>
    </row>
    <row r="160">
      <c r="A160" s="6" t="s">
        <v>18</v>
      </c>
      <c r="B160" s="2" t="s">
        <v>4</v>
      </c>
      <c r="C160" s="4">
        <f t="shared" si="25"/>
        <v>0.089</v>
      </c>
      <c r="D160" s="7">
        <v>42.0</v>
      </c>
      <c r="F160" s="24">
        <f t="shared" si="23"/>
        <v>0.002666666667</v>
      </c>
      <c r="H160" s="7">
        <v>3.0</v>
      </c>
    </row>
    <row r="161">
      <c r="A161" s="6" t="s">
        <v>18</v>
      </c>
      <c r="B161" s="2" t="s">
        <v>5</v>
      </c>
      <c r="C161" s="4">
        <f t="shared" si="25"/>
        <v>0.089</v>
      </c>
      <c r="D161" s="7">
        <v>50.0</v>
      </c>
      <c r="F161" s="24">
        <f t="shared" si="23"/>
        <v>0.002666666667</v>
      </c>
      <c r="H161" s="7">
        <v>3.0</v>
      </c>
    </row>
    <row r="162">
      <c r="A162" s="6" t="s">
        <v>18</v>
      </c>
      <c r="B162" s="2" t="s">
        <v>6</v>
      </c>
      <c r="C162" s="4">
        <f t="shared" si="25"/>
        <v>0.093</v>
      </c>
      <c r="D162" s="7">
        <v>57.0</v>
      </c>
      <c r="F162" s="24">
        <f t="shared" si="23"/>
        <v>0.006666666667</v>
      </c>
      <c r="H162" s="7">
        <v>3.0</v>
      </c>
    </row>
    <row r="163">
      <c r="A163" s="6" t="s">
        <v>18</v>
      </c>
      <c r="B163" s="2" t="s">
        <v>7</v>
      </c>
      <c r="C163" s="4">
        <f t="shared" si="25"/>
        <v>0.088</v>
      </c>
      <c r="D163" s="7">
        <v>59.0</v>
      </c>
      <c r="F163" s="24">
        <f t="shared" si="23"/>
        <v>0.001666666667</v>
      </c>
      <c r="H163" s="7">
        <v>3.0</v>
      </c>
    </row>
    <row r="164">
      <c r="A164" s="6" t="s">
        <v>18</v>
      </c>
      <c r="B164" s="2" t="s">
        <v>8</v>
      </c>
      <c r="C164" s="4">
        <f t="shared" si="25"/>
        <v>0.091</v>
      </c>
      <c r="D164" s="7">
        <v>79.0</v>
      </c>
      <c r="F164" s="24">
        <f t="shared" si="23"/>
        <v>0.004666666667</v>
      </c>
      <c r="H164" s="7">
        <v>3.0</v>
      </c>
    </row>
    <row r="165">
      <c r="A165" s="6" t="s">
        <v>18</v>
      </c>
      <c r="B165" s="7" t="s">
        <v>0</v>
      </c>
      <c r="C165" s="4">
        <f t="shared" ref="C165:C167" si="26">E32</f>
        <v>0.09</v>
      </c>
      <c r="D165" s="7">
        <v>86.0</v>
      </c>
      <c r="F165" s="24">
        <f t="shared" si="23"/>
        <v>0.003666666667</v>
      </c>
      <c r="H165" s="7">
        <v>1.0</v>
      </c>
    </row>
    <row r="166">
      <c r="A166" s="6" t="s">
        <v>18</v>
      </c>
      <c r="B166" s="7" t="s">
        <v>2</v>
      </c>
      <c r="C166" s="4">
        <f t="shared" si="26"/>
        <v>0.091</v>
      </c>
      <c r="D166" s="7">
        <v>26.0</v>
      </c>
      <c r="F166" s="24">
        <f t="shared" si="23"/>
        <v>0.004666666667</v>
      </c>
      <c r="H166" s="7">
        <v>1.0</v>
      </c>
    </row>
    <row r="167">
      <c r="A167" s="6" t="s">
        <v>18</v>
      </c>
      <c r="B167" s="7" t="s">
        <v>3</v>
      </c>
      <c r="C167" s="4">
        <f t="shared" si="26"/>
        <v>0.157</v>
      </c>
      <c r="D167" s="7">
        <v>30.0</v>
      </c>
      <c r="F167" s="24">
        <f t="shared" si="23"/>
        <v>0.07066666667</v>
      </c>
      <c r="H167" s="7">
        <v>1.0</v>
      </c>
    </row>
    <row r="168">
      <c r="A168" s="6" t="s">
        <v>18</v>
      </c>
      <c r="B168" s="7" t="s">
        <v>0</v>
      </c>
      <c r="C168" s="4">
        <f t="shared" ref="C168:C170" si="27">F32</f>
        <v>0.09</v>
      </c>
      <c r="D168" s="7">
        <v>86.0</v>
      </c>
      <c r="F168" s="24">
        <f t="shared" si="23"/>
        <v>0.003666666667</v>
      </c>
      <c r="H168" s="7">
        <v>2.0</v>
      </c>
    </row>
    <row r="169">
      <c r="A169" s="6" t="s">
        <v>18</v>
      </c>
      <c r="B169" s="7" t="s">
        <v>2</v>
      </c>
      <c r="C169" s="4">
        <f t="shared" si="27"/>
        <v>0.092</v>
      </c>
      <c r="D169" s="7">
        <v>26.0</v>
      </c>
      <c r="F169" s="24">
        <f t="shared" si="23"/>
        <v>0.005666666667</v>
      </c>
      <c r="H169" s="7">
        <v>2.0</v>
      </c>
    </row>
    <row r="170">
      <c r="A170" s="6" t="s">
        <v>18</v>
      </c>
      <c r="B170" s="7" t="s">
        <v>3</v>
      </c>
      <c r="C170" s="4">
        <f t="shared" si="27"/>
        <v>0.092</v>
      </c>
      <c r="D170" s="7">
        <v>30.0</v>
      </c>
      <c r="F170" s="24">
        <f t="shared" si="23"/>
        <v>0.005666666667</v>
      </c>
      <c r="H170" s="7">
        <v>2.0</v>
      </c>
    </row>
    <row r="171">
      <c r="A171" s="6" t="s">
        <v>18</v>
      </c>
      <c r="B171" s="7" t="s">
        <v>0</v>
      </c>
      <c r="C171" s="4">
        <f t="shared" ref="C171:C173" si="28">G32</f>
        <v>0.086</v>
      </c>
      <c r="D171" s="7">
        <v>86.0</v>
      </c>
      <c r="F171" s="24">
        <f t="shared" si="23"/>
        <v>-0.0003333333333</v>
      </c>
      <c r="H171" s="7">
        <v>3.0</v>
      </c>
    </row>
    <row r="172">
      <c r="A172" s="6" t="s">
        <v>18</v>
      </c>
      <c r="B172" s="7" t="s">
        <v>2</v>
      </c>
      <c r="C172" s="4">
        <f t="shared" si="28"/>
        <v>0.102</v>
      </c>
      <c r="D172" s="7">
        <v>26.0</v>
      </c>
      <c r="F172" s="24">
        <f t="shared" si="23"/>
        <v>0.01566666667</v>
      </c>
      <c r="H172" s="7">
        <v>3.0</v>
      </c>
    </row>
    <row r="173">
      <c r="A173" s="6" t="s">
        <v>18</v>
      </c>
      <c r="B173" s="7" t="s">
        <v>3</v>
      </c>
      <c r="C173" s="4">
        <f t="shared" si="28"/>
        <v>0.092</v>
      </c>
      <c r="D173" s="7">
        <v>30.0</v>
      </c>
      <c r="F173" s="24">
        <f t="shared" si="23"/>
        <v>0.005666666667</v>
      </c>
      <c r="H173" s="7">
        <v>3.0</v>
      </c>
    </row>
    <row r="174">
      <c r="H174" s="7"/>
    </row>
    <row r="175">
      <c r="A175" s="7" t="s">
        <v>40</v>
      </c>
      <c r="B175" s="7" t="s">
        <v>41</v>
      </c>
      <c r="H175" s="7"/>
    </row>
    <row r="176">
      <c r="A176" s="7" t="s">
        <v>42</v>
      </c>
      <c r="B176" s="7" t="s">
        <v>43</v>
      </c>
      <c r="H176" s="7"/>
    </row>
    <row r="177">
      <c r="A177" s="7" t="s">
        <v>44</v>
      </c>
      <c r="B177" s="7" t="s">
        <v>45</v>
      </c>
    </row>
    <row r="178">
      <c r="A178" s="7" t="s">
        <v>46</v>
      </c>
      <c r="B178" s="7" t="s">
        <v>47</v>
      </c>
    </row>
    <row r="179">
      <c r="A179" s="7" t="s">
        <v>48</v>
      </c>
      <c r="B179" s="7" t="s">
        <v>49</v>
      </c>
    </row>
    <row r="182">
      <c r="A182" s="7" t="s">
        <v>35</v>
      </c>
      <c r="B182" s="7" t="s">
        <v>38</v>
      </c>
      <c r="C182" s="7" t="s">
        <v>51</v>
      </c>
      <c r="D182" s="7" t="s">
        <v>52</v>
      </c>
      <c r="E182" s="7" t="s">
        <v>53</v>
      </c>
      <c r="F182" s="7" t="s">
        <v>54</v>
      </c>
      <c r="G182" s="7" t="s">
        <v>55</v>
      </c>
    </row>
    <row r="183">
      <c r="A183" s="7" t="s">
        <v>39</v>
      </c>
      <c r="B183" s="7">
        <v>1.0</v>
      </c>
      <c r="C183" s="25">
        <f t="shared" ref="C183:C215" si="29">(0.0604*F42)-(4.5224*F75)+(13.269*F108)-(1.7453*F141)</f>
        <v>-0.01235126667</v>
      </c>
      <c r="D183" s="25">
        <f t="shared" ref="D183:D215" si="30">-(4.1982*F42)+(25.7205*F75)-(7.4096*F108)-(2.7418*F141)</f>
        <v>-0.01986543333</v>
      </c>
      <c r="E183" s="26">
        <f t="shared" ref="E183:E215" si="31">(28.4593*F42)-(9.9944*F75)-(1.9344*F108)-(1.8093*F141)</f>
        <v>-0.02513843333</v>
      </c>
      <c r="F183" s="26">
        <f t="shared" ref="F183:F215" si="32">-(0.2007*F42)+(0.0848*F75)-(0.1909*F108)-(12.1302*F141)</f>
        <v>0.01668493333</v>
      </c>
      <c r="G183" s="26">
        <f t="shared" ref="G183:G215" si="33">(24.1209*F42)+(11.2884*F75)+(3.762*F108)+(5.8338*F141)</f>
        <v>-0.0730639</v>
      </c>
    </row>
    <row r="184">
      <c r="A184" s="7">
        <v>98.0</v>
      </c>
      <c r="B184" s="7">
        <v>1.0</v>
      </c>
      <c r="C184" s="25">
        <f t="shared" si="29"/>
        <v>1.099441433</v>
      </c>
      <c r="D184" s="25">
        <f t="shared" si="30"/>
        <v>0.07784766667</v>
      </c>
      <c r="E184" s="26">
        <f t="shared" si="31"/>
        <v>0.6628110667</v>
      </c>
      <c r="F184" s="26">
        <f t="shared" si="32"/>
        <v>-0.1414017667</v>
      </c>
      <c r="G184" s="26">
        <f t="shared" si="33"/>
        <v>1.9359317</v>
      </c>
    </row>
    <row r="185">
      <c r="A185" s="7">
        <v>103.0</v>
      </c>
      <c r="B185" s="7">
        <v>1.0</v>
      </c>
      <c r="C185" s="25">
        <f t="shared" si="29"/>
        <v>1.292031333</v>
      </c>
      <c r="D185" s="25">
        <f t="shared" si="30"/>
        <v>0.05103786667</v>
      </c>
      <c r="E185" s="26">
        <f t="shared" si="31"/>
        <v>0.6469923667</v>
      </c>
      <c r="F185" s="26">
        <f t="shared" si="32"/>
        <v>-0.1566485667</v>
      </c>
      <c r="G185" s="26">
        <f t="shared" si="33"/>
        <v>2.0953529</v>
      </c>
    </row>
    <row r="186">
      <c r="A186" s="7">
        <v>42.0</v>
      </c>
      <c r="B186" s="7">
        <v>1.0</v>
      </c>
      <c r="C186" s="25">
        <f t="shared" si="29"/>
        <v>0.7026460333</v>
      </c>
      <c r="D186" s="25">
        <f t="shared" si="30"/>
        <v>-0.005067733333</v>
      </c>
      <c r="E186" s="26">
        <f t="shared" si="31"/>
        <v>0.3595714667</v>
      </c>
      <c r="F186" s="26">
        <f t="shared" si="32"/>
        <v>-0.03480926667</v>
      </c>
      <c r="G186" s="26">
        <f t="shared" si="33"/>
        <v>1.0644581</v>
      </c>
    </row>
    <row r="187">
      <c r="A187" s="7">
        <v>50.0</v>
      </c>
      <c r="B187" s="7">
        <v>1.0</v>
      </c>
      <c r="C187" s="25">
        <f t="shared" si="29"/>
        <v>0.9814007333</v>
      </c>
      <c r="D187" s="25">
        <f t="shared" si="30"/>
        <v>0.7228858667</v>
      </c>
      <c r="E187" s="26">
        <f t="shared" si="31"/>
        <v>1.291472967</v>
      </c>
      <c r="F187" s="26">
        <f t="shared" si="32"/>
        <v>-0.7425174667</v>
      </c>
      <c r="G187" s="26">
        <f t="shared" si="33"/>
        <v>3.6795419</v>
      </c>
    </row>
    <row r="188">
      <c r="A188" s="7">
        <v>57.0</v>
      </c>
      <c r="B188" s="7">
        <v>1.0</v>
      </c>
      <c r="C188" s="25">
        <f t="shared" si="29"/>
        <v>0.5144174333</v>
      </c>
      <c r="D188" s="25">
        <f t="shared" si="30"/>
        <v>0.01321806667</v>
      </c>
      <c r="E188" s="26">
        <f t="shared" si="31"/>
        <v>0.2790313667</v>
      </c>
      <c r="F188" s="26">
        <f t="shared" si="32"/>
        <v>-0.07980226667</v>
      </c>
      <c r="G188" s="26">
        <f t="shared" si="33"/>
        <v>0.8656052</v>
      </c>
    </row>
    <row r="189">
      <c r="A189" s="7">
        <v>59.0</v>
      </c>
      <c r="B189" s="7">
        <v>1.0</v>
      </c>
      <c r="C189" s="25">
        <f t="shared" si="29"/>
        <v>1.200195233</v>
      </c>
      <c r="D189" s="25">
        <f t="shared" si="30"/>
        <v>0.2847484667</v>
      </c>
      <c r="E189" s="26">
        <f t="shared" si="31"/>
        <v>1.017039367</v>
      </c>
      <c r="F189" s="26">
        <f t="shared" si="32"/>
        <v>-0.3654880667</v>
      </c>
      <c r="G189" s="26">
        <f t="shared" si="33"/>
        <v>2.8108622</v>
      </c>
    </row>
    <row r="190">
      <c r="A190" s="7">
        <v>79.0</v>
      </c>
      <c r="B190" s="7">
        <v>1.0</v>
      </c>
      <c r="C190" s="25">
        <f t="shared" si="29"/>
        <v>0.5153121333</v>
      </c>
      <c r="D190" s="25">
        <f t="shared" si="30"/>
        <v>0.03456936667</v>
      </c>
      <c r="E190" s="26">
        <f t="shared" si="31"/>
        <v>0.3598427667</v>
      </c>
      <c r="F190" s="26">
        <f t="shared" si="32"/>
        <v>-0.04392896667</v>
      </c>
      <c r="G190" s="26">
        <f t="shared" si="33"/>
        <v>0.9317549</v>
      </c>
    </row>
    <row r="191">
      <c r="A191" s="7" t="s">
        <v>39</v>
      </c>
      <c r="B191" s="7">
        <v>2.0</v>
      </c>
      <c r="C191" s="25">
        <f t="shared" si="29"/>
        <v>0.01057913333</v>
      </c>
      <c r="D191" s="25">
        <f t="shared" si="30"/>
        <v>0.01698906667</v>
      </c>
      <c r="E191" s="26">
        <f t="shared" si="31"/>
        <v>0.02083446667</v>
      </c>
      <c r="F191" s="26">
        <f t="shared" si="32"/>
        <v>-0.008495866667</v>
      </c>
      <c r="G191" s="26">
        <f t="shared" si="33"/>
        <v>0.0561176</v>
      </c>
    </row>
    <row r="192">
      <c r="A192" s="7">
        <v>98.0</v>
      </c>
      <c r="B192" s="7">
        <v>2.0</v>
      </c>
      <c r="C192" s="25">
        <f t="shared" si="29"/>
        <v>0.6435036333</v>
      </c>
      <c r="D192" s="25">
        <f t="shared" si="30"/>
        <v>0.03955666667</v>
      </c>
      <c r="E192" s="26">
        <f t="shared" si="31"/>
        <v>0.4199079667</v>
      </c>
      <c r="F192" s="26">
        <f t="shared" si="32"/>
        <v>-0.1074502667</v>
      </c>
      <c r="G192" s="26">
        <f t="shared" si="33"/>
        <v>1.1831144</v>
      </c>
    </row>
    <row r="193">
      <c r="A193" s="7">
        <v>103.0</v>
      </c>
      <c r="B193" s="7">
        <v>2.0</v>
      </c>
      <c r="C193" s="25">
        <f t="shared" si="29"/>
        <v>0.8439530333</v>
      </c>
      <c r="D193" s="25">
        <f t="shared" si="30"/>
        <v>0.1072282667</v>
      </c>
      <c r="E193" s="26">
        <f t="shared" si="31"/>
        <v>0.5321068667</v>
      </c>
      <c r="F193" s="26">
        <f t="shared" si="32"/>
        <v>-0.1605564667</v>
      </c>
      <c r="G193" s="26">
        <f t="shared" si="33"/>
        <v>1.6078997</v>
      </c>
    </row>
    <row r="194">
      <c r="A194" s="7">
        <v>42.0</v>
      </c>
      <c r="B194" s="7">
        <v>2.0</v>
      </c>
      <c r="C194" s="25">
        <f t="shared" si="29"/>
        <v>1.147116733</v>
      </c>
      <c r="D194" s="25">
        <f t="shared" si="30"/>
        <v>-0.009584433333</v>
      </c>
      <c r="E194" s="26">
        <f t="shared" si="31"/>
        <v>0.5242986667</v>
      </c>
      <c r="F194" s="26">
        <f t="shared" si="32"/>
        <v>-0.05570036667</v>
      </c>
      <c r="G194" s="26">
        <f t="shared" si="33"/>
        <v>1.6735688</v>
      </c>
    </row>
    <row r="195">
      <c r="A195" s="7">
        <v>50.0</v>
      </c>
      <c r="B195" s="7">
        <v>2.0</v>
      </c>
      <c r="C195" s="25">
        <f t="shared" si="29"/>
        <v>0.5463511333</v>
      </c>
      <c r="D195" s="25">
        <f t="shared" si="30"/>
        <v>0.2646381667</v>
      </c>
      <c r="E195" s="26">
        <f t="shared" si="31"/>
        <v>0.7770430667</v>
      </c>
      <c r="F195" s="26">
        <f t="shared" si="32"/>
        <v>-0.2917225667</v>
      </c>
      <c r="G195" s="26">
        <f t="shared" si="33"/>
        <v>1.8477848</v>
      </c>
    </row>
    <row r="196">
      <c r="A196" s="7">
        <v>57.0</v>
      </c>
      <c r="B196" s="7">
        <v>2.0</v>
      </c>
      <c r="C196" s="25">
        <f t="shared" si="29"/>
        <v>0.6700177333</v>
      </c>
      <c r="D196" s="25">
        <f t="shared" si="30"/>
        <v>-0.02862533333</v>
      </c>
      <c r="E196" s="26">
        <f t="shared" si="31"/>
        <v>0.3266355667</v>
      </c>
      <c r="F196" s="26">
        <f t="shared" si="32"/>
        <v>-0.04613496667</v>
      </c>
      <c r="G196" s="26">
        <f t="shared" si="33"/>
        <v>0.9881873</v>
      </c>
    </row>
    <row r="197">
      <c r="A197" s="7">
        <v>59.0</v>
      </c>
      <c r="B197" s="7">
        <v>2.0</v>
      </c>
      <c r="C197" s="25">
        <f t="shared" si="29"/>
        <v>0.9272149333</v>
      </c>
      <c r="D197" s="25">
        <f t="shared" si="30"/>
        <v>0.002296866667</v>
      </c>
      <c r="E197" s="26">
        <f t="shared" si="31"/>
        <v>0.5200933667</v>
      </c>
      <c r="F197" s="26">
        <f t="shared" si="32"/>
        <v>-0.07634646667</v>
      </c>
      <c r="G197" s="26">
        <f t="shared" si="33"/>
        <v>1.4887157</v>
      </c>
    </row>
    <row r="198">
      <c r="A198" s="7">
        <v>79.0</v>
      </c>
      <c r="B198" s="7">
        <v>2.0</v>
      </c>
      <c r="C198" s="25">
        <f t="shared" si="29"/>
        <v>0.5498631333</v>
      </c>
      <c r="D198" s="25">
        <f t="shared" si="30"/>
        <v>-0.0004867333333</v>
      </c>
      <c r="E198" s="26">
        <f t="shared" si="31"/>
        <v>0.3695869667</v>
      </c>
      <c r="F198" s="26">
        <f t="shared" si="32"/>
        <v>-0.02013516667</v>
      </c>
      <c r="G198" s="26">
        <f t="shared" si="33"/>
        <v>0.9163229</v>
      </c>
    </row>
    <row r="199">
      <c r="A199" s="7" t="s">
        <v>39</v>
      </c>
      <c r="B199" s="7">
        <v>3.0</v>
      </c>
      <c r="C199" s="25">
        <f t="shared" si="29"/>
        <v>0.001772133333</v>
      </c>
      <c r="D199" s="25">
        <f t="shared" si="30"/>
        <v>0.002876366667</v>
      </c>
      <c r="E199" s="26">
        <f t="shared" si="31"/>
        <v>0.004303966667</v>
      </c>
      <c r="F199" s="26">
        <f t="shared" si="32"/>
        <v>-0.008189066667</v>
      </c>
      <c r="G199" s="26">
        <f t="shared" si="33"/>
        <v>0.0169463</v>
      </c>
    </row>
    <row r="200">
      <c r="A200" s="7">
        <v>98.0</v>
      </c>
      <c r="B200" s="7">
        <v>3.0</v>
      </c>
      <c r="C200" s="25">
        <f t="shared" si="29"/>
        <v>0.9500849333</v>
      </c>
      <c r="D200" s="25">
        <f t="shared" si="30"/>
        <v>0.04334956667</v>
      </c>
      <c r="E200" s="26">
        <f t="shared" si="31"/>
        <v>0.5376069667</v>
      </c>
      <c r="F200" s="26">
        <f t="shared" si="32"/>
        <v>-0.1013265667</v>
      </c>
      <c r="G200" s="26">
        <f t="shared" si="33"/>
        <v>1.5937763</v>
      </c>
    </row>
    <row r="201">
      <c r="A201" s="7">
        <v>103.0</v>
      </c>
      <c r="B201" s="7">
        <v>3.0</v>
      </c>
      <c r="C201" s="25">
        <f t="shared" si="29"/>
        <v>0.8545380333</v>
      </c>
      <c r="D201" s="25">
        <f t="shared" si="30"/>
        <v>0.01776086667</v>
      </c>
      <c r="E201" s="26">
        <f t="shared" si="31"/>
        <v>0.3791234667</v>
      </c>
      <c r="F201" s="26">
        <f t="shared" si="32"/>
        <v>-0.08629666667</v>
      </c>
      <c r="G201" s="26">
        <f t="shared" si="33"/>
        <v>1.3046753</v>
      </c>
    </row>
    <row r="202">
      <c r="A202" s="7">
        <v>42.0</v>
      </c>
      <c r="B202" s="7">
        <v>3.0</v>
      </c>
      <c r="C202" s="25">
        <f t="shared" si="29"/>
        <v>0.8156823333</v>
      </c>
      <c r="D202" s="25">
        <f t="shared" si="30"/>
        <v>0.008381866667</v>
      </c>
      <c r="E202" s="26">
        <f t="shared" si="31"/>
        <v>0.3838184667</v>
      </c>
      <c r="F202" s="26">
        <f t="shared" si="32"/>
        <v>-0.04911136667</v>
      </c>
      <c r="G202" s="26">
        <f t="shared" si="33"/>
        <v>1.2254282</v>
      </c>
    </row>
    <row r="203">
      <c r="A203" s="7">
        <v>50.0</v>
      </c>
      <c r="B203" s="7">
        <v>3.0</v>
      </c>
      <c r="C203" s="25">
        <f t="shared" si="29"/>
        <v>0.5196571333</v>
      </c>
      <c r="D203" s="25">
        <f t="shared" si="30"/>
        <v>0.07020436667</v>
      </c>
      <c r="E203" s="26">
        <f t="shared" si="31"/>
        <v>0.3948381667</v>
      </c>
      <c r="F203" s="26">
        <f t="shared" si="32"/>
        <v>-0.04435166667</v>
      </c>
      <c r="G203" s="26">
        <f t="shared" si="33"/>
        <v>1.0063355</v>
      </c>
    </row>
    <row r="204">
      <c r="A204" s="7">
        <v>57.0</v>
      </c>
      <c r="B204" s="7">
        <v>3.0</v>
      </c>
      <c r="C204" s="25">
        <f t="shared" si="29"/>
        <v>0.6096057333</v>
      </c>
      <c r="D204" s="25">
        <f t="shared" si="30"/>
        <v>0.1127568667</v>
      </c>
      <c r="E204" s="26">
        <f t="shared" si="31"/>
        <v>0.3771379667</v>
      </c>
      <c r="F204" s="26">
        <f t="shared" si="32"/>
        <v>-0.09456796667</v>
      </c>
      <c r="G204" s="26">
        <f t="shared" si="33"/>
        <v>1.1682125</v>
      </c>
    </row>
    <row r="205">
      <c r="A205" s="7">
        <v>59.0</v>
      </c>
      <c r="B205" s="7">
        <v>3.0</v>
      </c>
      <c r="C205" s="25">
        <f t="shared" si="29"/>
        <v>0.7246654333</v>
      </c>
      <c r="D205" s="25">
        <f t="shared" si="30"/>
        <v>0.05459446667</v>
      </c>
      <c r="E205" s="26">
        <f t="shared" si="31"/>
        <v>0.4560871667</v>
      </c>
      <c r="F205" s="26">
        <f t="shared" si="32"/>
        <v>-0.03604626667</v>
      </c>
      <c r="G205" s="26">
        <f t="shared" si="33"/>
        <v>1.2415022</v>
      </c>
    </row>
    <row r="206">
      <c r="A206" s="7">
        <v>79.0</v>
      </c>
      <c r="B206" s="7">
        <v>3.0</v>
      </c>
      <c r="C206" s="25">
        <f t="shared" si="29"/>
        <v>0.6399325333</v>
      </c>
      <c r="D206" s="25">
        <f t="shared" si="30"/>
        <v>0.03366936667</v>
      </c>
      <c r="E206" s="26">
        <f t="shared" si="31"/>
        <v>0.4088053667</v>
      </c>
      <c r="F206" s="26">
        <f t="shared" si="32"/>
        <v>-0.07075286667</v>
      </c>
      <c r="G206" s="26">
        <f t="shared" si="33"/>
        <v>1.1264417</v>
      </c>
    </row>
    <row r="207">
      <c r="A207" s="7">
        <v>86.0</v>
      </c>
      <c r="B207" s="7">
        <v>1.0</v>
      </c>
      <c r="C207" s="25">
        <f t="shared" si="29"/>
        <v>0.6902352333</v>
      </c>
      <c r="D207" s="25">
        <f t="shared" si="30"/>
        <v>0.08125416667</v>
      </c>
      <c r="E207" s="26">
        <f t="shared" si="31"/>
        <v>0.5032615667</v>
      </c>
      <c r="F207" s="26">
        <f t="shared" si="32"/>
        <v>-0.06024146667</v>
      </c>
      <c r="G207" s="26">
        <f t="shared" si="33"/>
        <v>1.305176</v>
      </c>
    </row>
    <row r="208">
      <c r="A208" s="7">
        <v>26.0</v>
      </c>
      <c r="B208" s="7">
        <v>1.0</v>
      </c>
      <c r="C208" s="25">
        <f t="shared" si="29"/>
        <v>0.6928273333</v>
      </c>
      <c r="D208" s="25">
        <f t="shared" si="30"/>
        <v>0.01662556667</v>
      </c>
      <c r="E208" s="26">
        <f t="shared" si="31"/>
        <v>0.3156898667</v>
      </c>
      <c r="F208" s="26">
        <f t="shared" si="32"/>
        <v>-0.07091436667</v>
      </c>
      <c r="G208" s="26">
        <f t="shared" si="33"/>
        <v>1.069127</v>
      </c>
    </row>
    <row r="209">
      <c r="A209" s="7">
        <v>30.0</v>
      </c>
      <c r="B209" s="7">
        <v>1.0</v>
      </c>
      <c r="C209" s="25">
        <f t="shared" si="29"/>
        <v>1.238811733</v>
      </c>
      <c r="D209" s="25">
        <f t="shared" si="30"/>
        <v>0.6528954667</v>
      </c>
      <c r="E209" s="26">
        <f t="shared" si="31"/>
        <v>1.307600267</v>
      </c>
      <c r="F209" s="26">
        <f t="shared" si="32"/>
        <v>-0.8929652667</v>
      </c>
      <c r="G209" s="26">
        <f t="shared" si="33"/>
        <v>4.0244084</v>
      </c>
    </row>
    <row r="210">
      <c r="A210" s="7">
        <v>86.0</v>
      </c>
      <c r="B210" s="7">
        <v>2.0</v>
      </c>
      <c r="C210" s="25">
        <f t="shared" si="29"/>
        <v>0.7432546333</v>
      </c>
      <c r="D210" s="25">
        <f t="shared" si="30"/>
        <v>0.1045748667</v>
      </c>
      <c r="E210" s="26">
        <f t="shared" si="31"/>
        <v>0.5774435667</v>
      </c>
      <c r="F210" s="26">
        <f t="shared" si="32"/>
        <v>-0.06174436667</v>
      </c>
      <c r="G210" s="26">
        <f t="shared" si="33"/>
        <v>1.4543348</v>
      </c>
    </row>
    <row r="211">
      <c r="A211" s="7">
        <v>26.0</v>
      </c>
      <c r="B211" s="7">
        <v>2.0</v>
      </c>
      <c r="C211" s="25">
        <f t="shared" si="29"/>
        <v>0.9915730333</v>
      </c>
      <c r="D211" s="25">
        <f t="shared" si="30"/>
        <v>-0.02070013333</v>
      </c>
      <c r="E211" s="26">
        <f t="shared" si="31"/>
        <v>0.3947748667</v>
      </c>
      <c r="F211" s="26">
        <f t="shared" si="32"/>
        <v>-0.08862836667</v>
      </c>
      <c r="G211" s="26">
        <f t="shared" si="33"/>
        <v>1.4168759</v>
      </c>
    </row>
    <row r="212">
      <c r="A212" s="7">
        <v>30.0</v>
      </c>
      <c r="B212" s="7">
        <v>2.0</v>
      </c>
      <c r="C212" s="25">
        <f t="shared" si="29"/>
        <v>1.044592433</v>
      </c>
      <c r="D212" s="25">
        <f t="shared" si="30"/>
        <v>0.002620566667</v>
      </c>
      <c r="E212" s="26">
        <f t="shared" si="31"/>
        <v>0.4689568667</v>
      </c>
      <c r="F212" s="26">
        <f t="shared" si="32"/>
        <v>-0.09013126667</v>
      </c>
      <c r="G212" s="26">
        <f t="shared" si="33"/>
        <v>1.5660347</v>
      </c>
    </row>
    <row r="213">
      <c r="A213" s="7">
        <v>86.0</v>
      </c>
      <c r="B213" s="7">
        <v>3.0</v>
      </c>
      <c r="C213" s="25">
        <f t="shared" si="29"/>
        <v>0.4721718333</v>
      </c>
      <c r="D213" s="25">
        <f t="shared" si="30"/>
        <v>-0.01464283333</v>
      </c>
      <c r="E213" s="26">
        <f t="shared" si="31"/>
        <v>0.3580016667</v>
      </c>
      <c r="F213" s="26">
        <f t="shared" si="32"/>
        <v>-0.006521666667</v>
      </c>
      <c r="G213" s="26">
        <f t="shared" si="33"/>
        <v>0.8020481</v>
      </c>
    </row>
    <row r="214">
      <c r="A214" s="7">
        <v>26.0</v>
      </c>
      <c r="B214" s="7">
        <v>3.0</v>
      </c>
      <c r="C214" s="25">
        <f t="shared" si="29"/>
        <v>0.9471706333</v>
      </c>
      <c r="D214" s="25">
        <f t="shared" si="30"/>
        <v>0.1423711667</v>
      </c>
      <c r="E214" s="26">
        <f t="shared" si="31"/>
        <v>0.5124722667</v>
      </c>
      <c r="F214" s="26">
        <f t="shared" si="32"/>
        <v>-0.2109636667</v>
      </c>
      <c r="G214" s="26">
        <f t="shared" si="33"/>
        <v>1.7735387</v>
      </c>
    </row>
    <row r="215">
      <c r="A215" s="7">
        <v>30.0</v>
      </c>
      <c r="B215" s="7">
        <v>3.0</v>
      </c>
      <c r="C215" s="25">
        <f t="shared" si="29"/>
        <v>0.9386178333</v>
      </c>
      <c r="D215" s="25">
        <f t="shared" si="30"/>
        <v>0.0005418666667</v>
      </c>
      <c r="E215" s="26">
        <f t="shared" si="31"/>
        <v>0.4594310667</v>
      </c>
      <c r="F215" s="26">
        <f t="shared" si="32"/>
        <v>-0.08826616667</v>
      </c>
      <c r="G215" s="26">
        <f t="shared" si="33"/>
        <v>1.4500697</v>
      </c>
    </row>
    <row r="217">
      <c r="A217" s="7" t="s">
        <v>35</v>
      </c>
      <c r="B217" s="7" t="s">
        <v>57</v>
      </c>
      <c r="C217" s="7" t="s">
        <v>58</v>
      </c>
      <c r="D217" s="7" t="s">
        <v>59</v>
      </c>
      <c r="E217" s="7" t="s">
        <v>60</v>
      </c>
      <c r="F217" s="7" t="s">
        <v>61</v>
      </c>
    </row>
    <row r="218">
      <c r="A218" s="7" t="s">
        <v>39</v>
      </c>
      <c r="B218" s="26">
        <f t="shared" ref="B218:F218" si="34">AVERAGE(C183,C191,C199)</f>
        <v>0</v>
      </c>
      <c r="C218" s="26">
        <f t="shared" si="34"/>
        <v>0</v>
      </c>
      <c r="D218" s="26">
        <f t="shared" si="34"/>
        <v>0</v>
      </c>
      <c r="E218" s="26">
        <f t="shared" si="34"/>
        <v>0</v>
      </c>
      <c r="F218" s="26">
        <f t="shared" si="34"/>
        <v>0</v>
      </c>
    </row>
    <row r="219">
      <c r="A219" s="7">
        <v>98.0</v>
      </c>
      <c r="B219" s="26">
        <f t="shared" ref="B219:F219" si="35">AVERAGE(C184,C192,C200)</f>
        <v>0.8976766667</v>
      </c>
      <c r="C219" s="26">
        <f t="shared" si="35"/>
        <v>0.05358463333</v>
      </c>
      <c r="D219" s="26">
        <f t="shared" si="35"/>
        <v>0.5401086667</v>
      </c>
      <c r="E219" s="26">
        <f t="shared" si="35"/>
        <v>-0.1167262</v>
      </c>
      <c r="F219" s="26">
        <f t="shared" si="35"/>
        <v>1.5709408</v>
      </c>
    </row>
    <row r="220">
      <c r="A220" s="7">
        <v>103.0</v>
      </c>
      <c r="B220" s="26">
        <f t="shared" ref="B220:F220" si="36">AVERAGE(C185,C193,C201)</f>
        <v>0.9968408</v>
      </c>
      <c r="C220" s="26">
        <f t="shared" si="36"/>
        <v>0.05867566667</v>
      </c>
      <c r="D220" s="26">
        <f t="shared" si="36"/>
        <v>0.5194075667</v>
      </c>
      <c r="E220" s="26">
        <f t="shared" si="36"/>
        <v>-0.1345005667</v>
      </c>
      <c r="F220" s="26">
        <f t="shared" si="36"/>
        <v>1.6693093</v>
      </c>
    </row>
    <row r="221">
      <c r="A221" s="7">
        <v>42.0</v>
      </c>
      <c r="B221" s="26">
        <f t="shared" ref="B221:F221" si="37">AVERAGE(C186,C194,C202)</f>
        <v>0.8884817</v>
      </c>
      <c r="C221" s="26">
        <f t="shared" si="37"/>
        <v>-0.0020901</v>
      </c>
      <c r="D221" s="26">
        <f t="shared" si="37"/>
        <v>0.4225628667</v>
      </c>
      <c r="E221" s="26">
        <f t="shared" si="37"/>
        <v>-0.04654033333</v>
      </c>
      <c r="F221" s="26">
        <f t="shared" si="37"/>
        <v>1.3211517</v>
      </c>
    </row>
    <row r="222">
      <c r="A222" s="7">
        <v>50.0</v>
      </c>
      <c r="B222" s="26">
        <f t="shared" ref="B222:F222" si="38">AVERAGE(C187,C195,C203)</f>
        <v>0.6824696667</v>
      </c>
      <c r="C222" s="26">
        <f t="shared" si="38"/>
        <v>0.3525761333</v>
      </c>
      <c r="D222" s="26">
        <f t="shared" si="38"/>
        <v>0.8211180667</v>
      </c>
      <c r="E222" s="26">
        <f t="shared" si="38"/>
        <v>-0.3595305667</v>
      </c>
      <c r="F222" s="26">
        <f t="shared" si="38"/>
        <v>2.1778874</v>
      </c>
    </row>
    <row r="223">
      <c r="A223" s="7">
        <v>57.0</v>
      </c>
      <c r="B223" s="26">
        <f t="shared" ref="B223:F223" si="39">AVERAGE(C188,C196,C204)</f>
        <v>0.5980136333</v>
      </c>
      <c r="C223" s="26">
        <f t="shared" si="39"/>
        <v>0.03244986667</v>
      </c>
      <c r="D223" s="26">
        <f t="shared" si="39"/>
        <v>0.3276016333</v>
      </c>
      <c r="E223" s="26">
        <f t="shared" si="39"/>
        <v>-0.07350173333</v>
      </c>
      <c r="F223" s="26">
        <f t="shared" si="39"/>
        <v>1.007335</v>
      </c>
    </row>
    <row r="224">
      <c r="A224" s="7">
        <v>59.0</v>
      </c>
      <c r="B224" s="26">
        <f t="shared" ref="B224:F224" si="40">AVERAGE(C189,C197,C205)</f>
        <v>0.9506918667</v>
      </c>
      <c r="C224" s="26">
        <f t="shared" si="40"/>
        <v>0.1138799333</v>
      </c>
      <c r="D224" s="26">
        <f t="shared" si="40"/>
        <v>0.6644066333</v>
      </c>
      <c r="E224" s="26">
        <f t="shared" si="40"/>
        <v>-0.1592936</v>
      </c>
      <c r="F224" s="26">
        <f t="shared" si="40"/>
        <v>1.8470267</v>
      </c>
    </row>
    <row r="225">
      <c r="A225" s="7">
        <v>79.0</v>
      </c>
      <c r="B225" s="26">
        <f t="shared" ref="B225:F225" si="41">AVERAGE(C190,C198,C206)</f>
        <v>0.5683692667</v>
      </c>
      <c r="C225" s="26">
        <f t="shared" si="41"/>
        <v>0.022584</v>
      </c>
      <c r="D225" s="26">
        <f t="shared" si="41"/>
        <v>0.3794117</v>
      </c>
      <c r="E225" s="26">
        <f t="shared" si="41"/>
        <v>-0.044939</v>
      </c>
      <c r="F225" s="26">
        <f t="shared" si="41"/>
        <v>0.9915065</v>
      </c>
    </row>
    <row r="226">
      <c r="A226" s="7">
        <v>86.0</v>
      </c>
      <c r="B226" s="26">
        <f t="shared" ref="B226:E226" si="42">AVERAGE(C207,C210,C213)</f>
        <v>0.6352205667</v>
      </c>
      <c r="C226" s="26">
        <f t="shared" si="42"/>
        <v>0.05706206667</v>
      </c>
      <c r="D226" s="26">
        <f t="shared" si="42"/>
        <v>0.4795689333</v>
      </c>
      <c r="E226" s="26">
        <f t="shared" si="42"/>
        <v>-0.04283583333</v>
      </c>
      <c r="F226" s="26">
        <f t="shared" ref="F226:F228" si="44">AVERAGE(G191,G199,G207)</f>
        <v>0.4594133</v>
      </c>
    </row>
    <row r="227">
      <c r="A227" s="7">
        <v>26.0</v>
      </c>
      <c r="B227" s="26">
        <f t="shared" ref="B227:E227" si="43">AVERAGE(C208,C211,C214)</f>
        <v>0.8771903333</v>
      </c>
      <c r="C227" s="26">
        <f t="shared" si="43"/>
        <v>0.04609886667</v>
      </c>
      <c r="D227" s="26">
        <f t="shared" si="43"/>
        <v>0.4076456667</v>
      </c>
      <c r="E227" s="26">
        <f t="shared" si="43"/>
        <v>-0.1235021333</v>
      </c>
      <c r="F227" s="26">
        <f t="shared" si="44"/>
        <v>1.2820059</v>
      </c>
    </row>
    <row r="228">
      <c r="A228" s="7">
        <v>30.0</v>
      </c>
      <c r="B228" s="26">
        <f t="shared" ref="B228:E228" si="45">AVERAGE(C209,C212,C215)</f>
        <v>1.074007333</v>
      </c>
      <c r="C228" s="26">
        <f t="shared" si="45"/>
        <v>0.2186859667</v>
      </c>
      <c r="D228" s="26">
        <f t="shared" si="45"/>
        <v>0.7453294</v>
      </c>
      <c r="E228" s="26">
        <f t="shared" si="45"/>
        <v>-0.3571209</v>
      </c>
      <c r="F228" s="26">
        <f t="shared" si="44"/>
        <v>2.3123278</v>
      </c>
    </row>
    <row r="230">
      <c r="A230" s="7" t="s">
        <v>62</v>
      </c>
    </row>
    <row r="231">
      <c r="A231" s="7" t="s">
        <v>35</v>
      </c>
      <c r="B231" s="7" t="s">
        <v>63</v>
      </c>
      <c r="C231" s="7" t="s">
        <v>64</v>
      </c>
      <c r="D231" s="7" t="s">
        <v>65</v>
      </c>
      <c r="E231" s="7" t="s">
        <v>66</v>
      </c>
      <c r="F231" s="7" t="s">
        <v>67</v>
      </c>
    </row>
    <row r="232">
      <c r="A232" s="7" t="s">
        <v>39</v>
      </c>
      <c r="B232" s="23">
        <f t="shared" ref="B232:F232" si="46">B218*(0.35)</f>
        <v>0</v>
      </c>
      <c r="C232" s="23">
        <f t="shared" si="46"/>
        <v>0</v>
      </c>
      <c r="D232" s="23">
        <f t="shared" si="46"/>
        <v>0</v>
      </c>
      <c r="E232" s="23">
        <f t="shared" si="46"/>
        <v>0</v>
      </c>
      <c r="F232" s="23">
        <f t="shared" si="46"/>
        <v>0</v>
      </c>
    </row>
    <row r="233">
      <c r="A233" s="7">
        <v>98.0</v>
      </c>
      <c r="B233" s="23">
        <f t="shared" ref="B233:F233" si="47">B219*(0.35)</f>
        <v>0.3141868333</v>
      </c>
      <c r="C233" s="23">
        <f t="shared" si="47"/>
        <v>0.01875462167</v>
      </c>
      <c r="D233" s="23">
        <f t="shared" si="47"/>
        <v>0.1890380333</v>
      </c>
      <c r="E233" s="23">
        <f t="shared" si="47"/>
        <v>-0.04085417</v>
      </c>
      <c r="F233" s="23">
        <f t="shared" si="47"/>
        <v>0.54982928</v>
      </c>
    </row>
    <row r="234">
      <c r="A234" s="7">
        <v>103.0</v>
      </c>
      <c r="B234" s="23">
        <f t="shared" ref="B234:F234" si="48">B220*(0.35)</f>
        <v>0.34889428</v>
      </c>
      <c r="C234" s="23">
        <f t="shared" si="48"/>
        <v>0.02053648333</v>
      </c>
      <c r="D234" s="23">
        <f t="shared" si="48"/>
        <v>0.1817926483</v>
      </c>
      <c r="E234" s="23">
        <f t="shared" si="48"/>
        <v>-0.04707519833</v>
      </c>
      <c r="F234" s="23">
        <f t="shared" si="48"/>
        <v>0.584258255</v>
      </c>
    </row>
    <row r="235">
      <c r="A235" s="7">
        <v>42.0</v>
      </c>
      <c r="B235" s="23">
        <f t="shared" ref="B235:F235" si="49">B221*(0.35)</f>
        <v>0.310968595</v>
      </c>
      <c r="C235" s="23">
        <f t="shared" si="49"/>
        <v>-0.000731535</v>
      </c>
      <c r="D235" s="23">
        <f t="shared" si="49"/>
        <v>0.1478970033</v>
      </c>
      <c r="E235" s="23">
        <f t="shared" si="49"/>
        <v>-0.01628911667</v>
      </c>
      <c r="F235" s="23">
        <f t="shared" si="49"/>
        <v>0.462403095</v>
      </c>
    </row>
    <row r="236">
      <c r="A236" s="7">
        <v>50.0</v>
      </c>
      <c r="B236" s="23">
        <f t="shared" ref="B236:F236" si="50">B222*(0.35)</f>
        <v>0.2388643833</v>
      </c>
      <c r="C236" s="23">
        <f t="shared" si="50"/>
        <v>0.1234016467</v>
      </c>
      <c r="D236" s="23">
        <f t="shared" si="50"/>
        <v>0.2873913233</v>
      </c>
      <c r="E236" s="23">
        <f t="shared" si="50"/>
        <v>-0.1258356983</v>
      </c>
      <c r="F236" s="23">
        <f t="shared" si="50"/>
        <v>0.76226059</v>
      </c>
    </row>
    <row r="237">
      <c r="A237" s="7">
        <v>57.0</v>
      </c>
      <c r="B237" s="23">
        <f t="shared" ref="B237:F237" si="51">B223*(0.35)</f>
        <v>0.2093047717</v>
      </c>
      <c r="C237" s="23">
        <f t="shared" si="51"/>
        <v>0.01135745333</v>
      </c>
      <c r="D237" s="23">
        <f t="shared" si="51"/>
        <v>0.1146605717</v>
      </c>
      <c r="E237" s="23">
        <f t="shared" si="51"/>
        <v>-0.02572560667</v>
      </c>
      <c r="F237" s="23">
        <f t="shared" si="51"/>
        <v>0.35256725</v>
      </c>
    </row>
    <row r="238">
      <c r="A238" s="7">
        <v>59.0</v>
      </c>
      <c r="B238" s="23">
        <f t="shared" ref="B238:F238" si="52">B224*(0.35)</f>
        <v>0.3327421533</v>
      </c>
      <c r="C238" s="23">
        <f t="shared" si="52"/>
        <v>0.03985797667</v>
      </c>
      <c r="D238" s="23">
        <f t="shared" si="52"/>
        <v>0.2325423217</v>
      </c>
      <c r="E238" s="23">
        <f t="shared" si="52"/>
        <v>-0.05575276</v>
      </c>
      <c r="F238" s="23">
        <f t="shared" si="52"/>
        <v>0.646459345</v>
      </c>
    </row>
    <row r="239">
      <c r="A239" s="7">
        <v>79.0</v>
      </c>
      <c r="B239" s="23">
        <f t="shared" ref="B239:F239" si="53">B225*(0.35)</f>
        <v>0.1989292433</v>
      </c>
      <c r="C239" s="23">
        <f t="shared" si="53"/>
        <v>0.0079044</v>
      </c>
      <c r="D239" s="23">
        <f t="shared" si="53"/>
        <v>0.132794095</v>
      </c>
      <c r="E239" s="23">
        <f t="shared" si="53"/>
        <v>-0.01572865</v>
      </c>
      <c r="F239" s="23">
        <f t="shared" si="53"/>
        <v>0.347027275</v>
      </c>
    </row>
    <row r="240">
      <c r="A240" s="7">
        <v>86.0</v>
      </c>
      <c r="B240" s="23">
        <f t="shared" ref="B240:F240" si="54">B226*(0.35)</f>
        <v>0.2223271983</v>
      </c>
      <c r="C240" s="23">
        <f t="shared" si="54"/>
        <v>0.01997172333</v>
      </c>
      <c r="D240" s="23">
        <f t="shared" si="54"/>
        <v>0.1678491267</v>
      </c>
      <c r="E240" s="23">
        <f t="shared" si="54"/>
        <v>-0.01499254167</v>
      </c>
      <c r="F240" s="23">
        <f t="shared" si="54"/>
        <v>0.160794655</v>
      </c>
    </row>
    <row r="241">
      <c r="A241" s="7">
        <v>26.0</v>
      </c>
      <c r="B241" s="23">
        <f t="shared" ref="B241:F241" si="55">B227*(0.35)</f>
        <v>0.3070166167</v>
      </c>
      <c r="C241" s="23">
        <f t="shared" si="55"/>
        <v>0.01613460333</v>
      </c>
      <c r="D241" s="23">
        <f t="shared" si="55"/>
        <v>0.1426759833</v>
      </c>
      <c r="E241" s="23">
        <f t="shared" si="55"/>
        <v>-0.04322574667</v>
      </c>
      <c r="F241" s="23">
        <f t="shared" si="55"/>
        <v>0.448702065</v>
      </c>
    </row>
    <row r="242">
      <c r="A242" s="7">
        <v>30.0</v>
      </c>
      <c r="B242" s="23">
        <f t="shared" ref="B242:F242" si="56">B228*(0.35)</f>
        <v>0.3759025667</v>
      </c>
      <c r="C242" s="23">
        <f t="shared" si="56"/>
        <v>0.07654008833</v>
      </c>
      <c r="D242" s="23">
        <f t="shared" si="56"/>
        <v>0.26086529</v>
      </c>
      <c r="E242" s="23">
        <f t="shared" si="56"/>
        <v>-0.124992315</v>
      </c>
      <c r="F242" s="23">
        <f t="shared" si="56"/>
        <v>0.80931473</v>
      </c>
    </row>
    <row r="244">
      <c r="A244" s="7" t="s">
        <v>68</v>
      </c>
    </row>
    <row r="245">
      <c r="A245" s="7" t="s">
        <v>35</v>
      </c>
      <c r="B245" s="7" t="s">
        <v>51</v>
      </c>
      <c r="C245" s="7" t="s">
        <v>52</v>
      </c>
      <c r="D245" s="7" t="s">
        <v>53</v>
      </c>
      <c r="E245" s="7" t="s">
        <v>54</v>
      </c>
      <c r="F245" s="7" t="s">
        <v>69</v>
      </c>
    </row>
    <row r="246">
      <c r="A246" s="7" t="s">
        <v>39</v>
      </c>
      <c r="B246" s="7">
        <v>0.0</v>
      </c>
      <c r="C246" s="7">
        <v>0.0</v>
      </c>
      <c r="D246" s="7">
        <v>0.0</v>
      </c>
      <c r="E246" s="7">
        <v>0.0</v>
      </c>
      <c r="F246" s="7">
        <v>0.0</v>
      </c>
    </row>
    <row r="247">
      <c r="A247" s="7">
        <v>98.0</v>
      </c>
      <c r="B247" s="23">
        <f>B233/'Surface Area'!B5</f>
        <v>0.1447305791</v>
      </c>
      <c r="C247" s="23">
        <f>C233/'Surface Area'!B5</f>
        <v>0.008639341202</v>
      </c>
      <c r="D247" s="23">
        <f>D233/'Surface Area'!B5</f>
        <v>0.08708061934</v>
      </c>
      <c r="E247" s="23">
        <f>E233/'Surface Area'!B5</f>
        <v>-0.01881952728</v>
      </c>
      <c r="F247" s="23">
        <f>F233/'Surface Area'!B5</f>
        <v>0.2532795829</v>
      </c>
    </row>
    <row r="248">
      <c r="A248" s="7">
        <v>103.0</v>
      </c>
      <c r="B248" s="23">
        <f>B234/'Surface Area'!B6</f>
        <v>0.1735308969</v>
      </c>
      <c r="C248" s="23">
        <f>C234/'Surface Area'!B6</f>
        <v>0.01021431011</v>
      </c>
      <c r="D248" s="23">
        <f>D234/'Surface Area'!B6</f>
        <v>0.09041891231</v>
      </c>
      <c r="E248" s="23">
        <f>E234/'Surface Area'!B6</f>
        <v>-0.02341397339</v>
      </c>
      <c r="F248" s="23">
        <f>F234/'Surface Area'!B6</f>
        <v>0.290594787</v>
      </c>
    </row>
    <row r="249">
      <c r="A249" s="7">
        <v>42.0</v>
      </c>
      <c r="B249" s="23">
        <f>B235/'Surface Area'!B7</f>
        <v>0.1285677885</v>
      </c>
      <c r="C249" s="23">
        <f>C235/'Surface Area'!B7</f>
        <v>-0.0003024480243</v>
      </c>
      <c r="D249" s="23">
        <f>D235/'Surface Area'!B7</f>
        <v>0.06114698061</v>
      </c>
      <c r="E249" s="23">
        <f>E235/'Surface Area'!B7</f>
        <v>-0.006734621247</v>
      </c>
      <c r="F249" s="23">
        <f>F235/'Surface Area'!B7</f>
        <v>0.1911773224</v>
      </c>
    </row>
    <row r="250">
      <c r="A250" s="7">
        <v>50.0</v>
      </c>
      <c r="B250" s="23">
        <f>B236/'Surface Area'!B8</f>
        <v>0.1063313981</v>
      </c>
      <c r="C250" s="23">
        <f>C236/'Surface Area'!B8</f>
        <v>0.05493271717</v>
      </c>
      <c r="D250" s="23">
        <f>D236/'Surface Area'!B8</f>
        <v>0.1279333519</v>
      </c>
      <c r="E250" s="23">
        <f>E236/'Surface Area'!B8</f>
        <v>-0.05601624462</v>
      </c>
      <c r="F250" s="23">
        <f>F236/'Surface Area'!B8</f>
        <v>0.3393232305</v>
      </c>
    </row>
    <row r="251">
      <c r="A251" s="7">
        <v>57.0</v>
      </c>
      <c r="B251" s="23">
        <f>B237/'Surface Area'!B9</f>
        <v>0.07973554186</v>
      </c>
      <c r="C251" s="23">
        <f>C237/'Surface Area'!B9</f>
        <v>0.004326670092</v>
      </c>
      <c r="D251" s="23">
        <f>D237/'Surface Area'!B9</f>
        <v>0.04368043184</v>
      </c>
      <c r="E251" s="23">
        <f>E237/'Surface Area'!B9</f>
        <v>-0.009800279138</v>
      </c>
      <c r="F251" s="23">
        <f>F237/'Surface Area'!B9</f>
        <v>0.1343119915</v>
      </c>
    </row>
    <row r="252">
      <c r="A252" s="7">
        <v>59.0</v>
      </c>
      <c r="B252" s="23">
        <f>B238/'Surface Area'!B10</f>
        <v>0.1150215026</v>
      </c>
      <c r="C252" s="23">
        <f>C238/'Surface Area'!B10</f>
        <v>0.01377800894</v>
      </c>
      <c r="D252" s="23">
        <f>D238/'Surface Area'!B10</f>
        <v>0.08038466716</v>
      </c>
      <c r="E252" s="23">
        <f>E238/'Surface Area'!B10</f>
        <v>-0.01927247919</v>
      </c>
      <c r="F252" s="23">
        <f>F238/'Surface Area'!B10</f>
        <v>0.2234665024</v>
      </c>
    </row>
    <row r="253">
      <c r="A253" s="7">
        <v>79.0</v>
      </c>
      <c r="B253" s="23">
        <f>B239/'Surface Area'!B11</f>
        <v>0.08305528759</v>
      </c>
      <c r="C253" s="23">
        <f>C239/'Surface Area'!B11</f>
        <v>0.003300179522</v>
      </c>
      <c r="D253" s="23">
        <f>D239/'Surface Area'!B11</f>
        <v>0.05544308904</v>
      </c>
      <c r="E253" s="23">
        <f>E239/'Surface Area'!B11</f>
        <v>-0.006566895481</v>
      </c>
      <c r="F253" s="23">
        <f>F239/'Surface Area'!B11</f>
        <v>0.1448879493</v>
      </c>
    </row>
    <row r="254">
      <c r="A254" s="7">
        <v>86.0</v>
      </c>
      <c r="B254" s="23">
        <f>B240/'Surface Area'!B12</f>
        <v>0.08057086696</v>
      </c>
      <c r="C254" s="23">
        <f>C240/'Surface Area'!B12</f>
        <v>0.007237706748</v>
      </c>
      <c r="D254" s="23">
        <f>D240/'Surface Area'!B12</f>
        <v>0.06082813869</v>
      </c>
      <c r="E254" s="23">
        <f>E240/'Surface Area'!B12</f>
        <v>-0.005433262728</v>
      </c>
      <c r="F254" s="23">
        <f>F240/'Surface Area'!B12</f>
        <v>0.05827161433</v>
      </c>
    </row>
    <row r="255">
      <c r="A255" s="7">
        <v>26.0</v>
      </c>
      <c r="B255" s="23">
        <f>B241/'Surface Area'!B13</f>
        <v>0.1636666866</v>
      </c>
      <c r="C255" s="23">
        <f>C241/'Surface Area'!B13</f>
        <v>0.008601153568</v>
      </c>
      <c r="D255" s="23">
        <f>D241/'Surface Area'!B13</f>
        <v>0.07605876747</v>
      </c>
      <c r="E255" s="23">
        <f>E241/'Surface Area'!B13</f>
        <v>-0.02304310044</v>
      </c>
      <c r="F255" s="23">
        <f>F241/'Surface Area'!B13</f>
        <v>0.2391974124</v>
      </c>
    </row>
    <row r="256">
      <c r="A256" s="7">
        <v>30.0</v>
      </c>
      <c r="B256" s="23">
        <f>B242/'Surface Area'!B14</f>
        <v>0.138035014</v>
      </c>
      <c r="C256" s="23">
        <f>C242/'Surface Area'!B14</f>
        <v>0.02810625172</v>
      </c>
      <c r="D256" s="23">
        <f>D242/'Surface Area'!B14</f>
        <v>0.09579222687</v>
      </c>
      <c r="E256" s="23">
        <f>E242/'Surface Area'!B14</f>
        <v>-0.04589837228</v>
      </c>
      <c r="F256" s="23">
        <f>F242/'Surface Area'!B14</f>
        <v>0.2971881013</v>
      </c>
    </row>
  </sheetData>
  <mergeCells count="2">
    <mergeCell ref="A230:F230"/>
    <mergeCell ref="A244:F2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70</v>
      </c>
    </row>
    <row r="3">
      <c r="A3" s="7" t="s">
        <v>35</v>
      </c>
      <c r="B3" s="7" t="s">
        <v>71</v>
      </c>
    </row>
    <row r="4">
      <c r="A4" s="7" t="s">
        <v>39</v>
      </c>
      <c r="B4" s="7" t="s">
        <v>72</v>
      </c>
      <c r="C4" s="7"/>
    </row>
    <row r="5">
      <c r="A5" s="7">
        <v>98.0</v>
      </c>
      <c r="B5" s="27">
        <v>2.17083933</v>
      </c>
    </row>
    <row r="6">
      <c r="A6" s="7">
        <v>103.0</v>
      </c>
      <c r="B6" s="27">
        <v>2.01056</v>
      </c>
    </row>
    <row r="7">
      <c r="A7" s="7">
        <v>42.0</v>
      </c>
      <c r="B7" s="27">
        <v>2.418713105</v>
      </c>
    </row>
    <row r="8">
      <c r="A8" s="7">
        <v>50.0</v>
      </c>
      <c r="B8" s="27">
        <v>2.246414396</v>
      </c>
    </row>
    <row r="9">
      <c r="A9" s="7">
        <v>57.0</v>
      </c>
      <c r="B9" s="27">
        <v>2.624987136</v>
      </c>
    </row>
    <row r="10">
      <c r="A10" s="7">
        <v>59.0</v>
      </c>
      <c r="B10" s="27">
        <v>2.892869124</v>
      </c>
    </row>
    <row r="11">
      <c r="A11" s="7">
        <v>79.0</v>
      </c>
      <c r="B11" s="27">
        <v>2.39514243</v>
      </c>
    </row>
    <row r="12">
      <c r="A12" s="7">
        <v>86.0</v>
      </c>
      <c r="B12" s="27">
        <v>2.759399355</v>
      </c>
    </row>
    <row r="13">
      <c r="A13" s="7">
        <v>26.0</v>
      </c>
      <c r="B13" s="27">
        <v>1.875865046</v>
      </c>
    </row>
    <row r="14">
      <c r="A14" s="7">
        <v>30.0</v>
      </c>
      <c r="B14" s="27">
        <v>2.72324069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7" t="s">
        <v>73</v>
      </c>
      <c r="B3" s="7" t="s">
        <v>35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69</v>
      </c>
    </row>
    <row r="4">
      <c r="A4" s="7">
        <v>1.0</v>
      </c>
      <c r="B4" s="7" t="s">
        <v>39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</row>
    <row r="5">
      <c r="A5" s="7">
        <v>1.0</v>
      </c>
      <c r="B5" s="7">
        <v>98.0</v>
      </c>
      <c r="C5" s="23">
        <v>0.11986872761022499</v>
      </c>
      <c r="D5" s="23">
        <v>0.02249847527868398</v>
      </c>
      <c r="E5" s="23">
        <v>0.09234592686322854</v>
      </c>
      <c r="F5" s="23">
        <v>-0.0178193227532259</v>
      </c>
      <c r="G5" s="23">
        <v>0.24718608493241181</v>
      </c>
    </row>
    <row r="6">
      <c r="A6" s="7">
        <v>1.0</v>
      </c>
      <c r="B6" s="7">
        <v>103.0</v>
      </c>
      <c r="C6" s="23">
        <v>0.14375109422250518</v>
      </c>
      <c r="D6" s="23">
        <v>0.029294012613401223</v>
      </c>
      <c r="E6" s="23">
        <v>0.09517582829327816</v>
      </c>
      <c r="F6" s="23">
        <v>-0.022994838917183943</v>
      </c>
      <c r="G6" s="23">
        <v>0.28500921136399804</v>
      </c>
    </row>
    <row r="7">
      <c r="A7" s="7">
        <v>1.0</v>
      </c>
      <c r="B7" s="7">
        <v>42.0</v>
      </c>
      <c r="C7" s="23">
        <v>0.08866776354059018</v>
      </c>
      <c r="D7" s="23">
        <v>0.023097115797314296</v>
      </c>
      <c r="E7" s="23">
        <v>0.0664498611545746</v>
      </c>
      <c r="F7" s="23">
        <v>-0.00615963090835446</v>
      </c>
      <c r="G7" s="23">
        <v>0.18047129033106218</v>
      </c>
    </row>
    <row r="8">
      <c r="A8" s="7">
        <v>1.0</v>
      </c>
      <c r="B8" s="7">
        <v>50.0</v>
      </c>
      <c r="C8" s="23">
        <v>0.09155193881393438</v>
      </c>
      <c r="D8" s="23">
        <v>0.06012764841629866</v>
      </c>
      <c r="E8" s="23">
        <v>0.1336550351238045</v>
      </c>
      <c r="F8" s="23">
        <v>-0.053291941688571695</v>
      </c>
      <c r="G8" s="23">
        <v>0.33311156495989613</v>
      </c>
    </row>
    <row r="9">
      <c r="A9" s="7">
        <v>1.0</v>
      </c>
      <c r="B9" s="7">
        <v>57.0</v>
      </c>
      <c r="C9" s="23">
        <v>0.05908152064432312</v>
      </c>
      <c r="D9" s="23">
        <v>0.01895287065767419</v>
      </c>
      <c r="E9" s="23">
        <v>0.04527094629795042</v>
      </c>
      <c r="F9" s="23">
        <v>-0.009500499891211656</v>
      </c>
      <c r="G9" s="23">
        <v>0.13013229105592078</v>
      </c>
    </row>
    <row r="10">
      <c r="A10" s="7">
        <v>1.0</v>
      </c>
      <c r="B10" s="7">
        <v>59.0</v>
      </c>
      <c r="C10" s="23">
        <v>0.08797177557118319</v>
      </c>
      <c r="D10" s="23">
        <v>0.03305632778429139</v>
      </c>
      <c r="E10" s="23">
        <v>0.08715769334610242</v>
      </c>
      <c r="F10" s="23">
        <v>-0.02087968463519056</v>
      </c>
      <c r="G10" s="23">
        <v>0.22472049793290264</v>
      </c>
    </row>
    <row r="11">
      <c r="A11" s="7">
        <v>1.0</v>
      </c>
      <c r="B11" s="7">
        <v>79.0</v>
      </c>
      <c r="C11" s="23">
        <v>0.06439970183039734</v>
      </c>
      <c r="D11" s="23">
        <v>0.013695900887753569</v>
      </c>
      <c r="E11" s="23">
        <v>0.059649960635813494</v>
      </c>
      <c r="F11" s="23">
        <v>-0.005716151363351972</v>
      </c>
      <c r="G11" s="23">
        <v>0.1404645777161569</v>
      </c>
    </row>
    <row r="12">
      <c r="A12" s="7">
        <v>1.0</v>
      </c>
      <c r="B12" s="7">
        <v>86.0</v>
      </c>
      <c r="C12" s="23">
        <v>0.08057086696439172</v>
      </c>
      <c r="D12" s="23">
        <v>0.007237706748443192</v>
      </c>
      <c r="E12" s="23">
        <v>0.06082813868986597</v>
      </c>
      <c r="F12" s="23">
        <v>-0.005433262727810796</v>
      </c>
      <c r="G12" s="23">
        <v>0.057635287444647486</v>
      </c>
    </row>
    <row r="13">
      <c r="A13" s="7">
        <v>1.0</v>
      </c>
      <c r="B13" s="7">
        <v>26.0</v>
      </c>
      <c r="C13" s="23">
        <v>0.1639173514404298</v>
      </c>
      <c r="D13" s="23">
        <v>0.0035596777146834784</v>
      </c>
      <c r="E13" s="23">
        <v>0.08534882631423582</v>
      </c>
      <c r="F13" s="23">
        <v>-0.02158813880900045</v>
      </c>
      <c r="G13" s="23">
        <v>0.2400818230289685</v>
      </c>
    </row>
    <row r="14">
      <c r="A14" s="7">
        <v>1.0</v>
      </c>
      <c r="B14" s="7">
        <v>30.0</v>
      </c>
      <c r="C14" s="23">
        <v>0.13949624298541163</v>
      </c>
      <c r="D14" s="23">
        <v>0.027666247769919546</v>
      </c>
      <c r="E14" s="23">
        <v>0.08857368755018127</v>
      </c>
      <c r="F14" s="23">
        <v>-0.042215929996747115</v>
      </c>
      <c r="G14" s="23">
        <v>0.2773461661958348</v>
      </c>
    </row>
    <row r="15">
      <c r="A15" s="7">
        <v>2.0</v>
      </c>
      <c r="B15" s="7" t="s">
        <v>39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</row>
    <row r="16">
      <c r="A16" s="7">
        <v>2.0</v>
      </c>
      <c r="B16" s="7">
        <v>98.0</v>
      </c>
      <c r="C16" s="23">
        <v>0.1447305790858936</v>
      </c>
      <c r="D16" s="23">
        <v>0.00863934120203482</v>
      </c>
      <c r="E16" s="23">
        <v>0.08708061933507226</v>
      </c>
      <c r="F16" s="23">
        <v>-0.018819527283946896</v>
      </c>
      <c r="G16" s="23">
        <v>0.2532795828791253</v>
      </c>
    </row>
    <row r="17">
      <c r="A17" s="7">
        <v>2.0</v>
      </c>
      <c r="B17" s="7">
        <v>103.0</v>
      </c>
      <c r="C17" s="23">
        <v>0.17353089686455517</v>
      </c>
      <c r="D17" s="23">
        <v>0.010214310109289611</v>
      </c>
      <c r="E17" s="23">
        <v>0.09041891230967158</v>
      </c>
      <c r="F17" s="23">
        <v>-0.023413973387182346</v>
      </c>
      <c r="G17" s="23">
        <v>0.2905947870245106</v>
      </c>
    </row>
    <row r="18">
      <c r="A18" s="7">
        <v>2.0</v>
      </c>
      <c r="B18" s="7">
        <v>42.0</v>
      </c>
      <c r="C18" s="23">
        <v>0.12856778853066986</v>
      </c>
      <c r="D18" s="23">
        <v>-3.0244802431828624E-4</v>
      </c>
      <c r="E18" s="23">
        <v>0.06114698061030819</v>
      </c>
      <c r="F18" s="23">
        <v>-0.006734621246725601</v>
      </c>
      <c r="G18" s="23">
        <v>0.19117732237201396</v>
      </c>
    </row>
    <row r="19">
      <c r="A19" s="7">
        <v>2.0</v>
      </c>
      <c r="B19" s="7">
        <v>50.0</v>
      </c>
      <c r="C19" s="23">
        <v>0.10633139805311918</v>
      </c>
      <c r="D19" s="23">
        <v>0.05493271717203983</v>
      </c>
      <c r="E19" s="23">
        <v>0.1279333518539886</v>
      </c>
      <c r="F19" s="23">
        <v>-0.05601624462405435</v>
      </c>
      <c r="G19" s="23">
        <v>0.33932323054788677</v>
      </c>
    </row>
    <row r="20">
      <c r="A20" s="7">
        <v>2.0</v>
      </c>
      <c r="B20" s="7">
        <v>57.0</v>
      </c>
      <c r="C20" s="23">
        <v>0.07973554186082937</v>
      </c>
      <c r="D20" s="23">
        <v>0.004326670092044715</v>
      </c>
      <c r="E20" s="23">
        <v>0.04368043183685401</v>
      </c>
      <c r="F20" s="23">
        <v>-0.009800279138079045</v>
      </c>
      <c r="G20" s="23">
        <v>0.13431199153884152</v>
      </c>
    </row>
    <row r="21">
      <c r="A21" s="7">
        <v>2.0</v>
      </c>
      <c r="B21" s="7">
        <v>59.0</v>
      </c>
      <c r="C21" s="23">
        <v>0.11502150255357813</v>
      </c>
      <c r="D21" s="23">
        <v>0.013778008944820362</v>
      </c>
      <c r="E21" s="23">
        <v>0.08038466715878521</v>
      </c>
      <c r="F21" s="23">
        <v>-0.019272479192874815</v>
      </c>
      <c r="G21" s="23">
        <v>0.22346650238574697</v>
      </c>
    </row>
    <row r="22">
      <c r="A22" s="7">
        <v>2.0</v>
      </c>
      <c r="B22" s="7">
        <v>79.0</v>
      </c>
      <c r="C22" s="23">
        <v>0.08305528758610539</v>
      </c>
      <c r="D22" s="23">
        <v>0.003300179522100468</v>
      </c>
      <c r="E22" s="23">
        <v>0.0554430890358366</v>
      </c>
      <c r="F22" s="23">
        <v>-0.006566895481034082</v>
      </c>
      <c r="G22" s="23">
        <v>0.14488794931498078</v>
      </c>
    </row>
    <row r="23">
      <c r="A23" s="7">
        <v>2.0</v>
      </c>
      <c r="B23" s="7">
        <v>86.0</v>
      </c>
      <c r="C23" s="23">
        <v>0.0805708669643917</v>
      </c>
      <c r="D23" s="23">
        <v>0.007237706748443208</v>
      </c>
      <c r="E23" s="23">
        <v>0.06082813868986592</v>
      </c>
      <c r="F23" s="23">
        <v>-0.005433262727810796</v>
      </c>
      <c r="G23" s="23">
        <v>0.05827161433108325</v>
      </c>
    </row>
    <row r="24">
      <c r="A24" s="7">
        <v>2.0</v>
      </c>
      <c r="B24" s="7">
        <v>26.0</v>
      </c>
      <c r="C24" s="23">
        <v>0.16366668664216188</v>
      </c>
      <c r="D24" s="23">
        <v>0.008601153567916846</v>
      </c>
      <c r="E24" s="23">
        <v>0.07605876746707785</v>
      </c>
      <c r="F24" s="23">
        <v>-0.023043100439895214</v>
      </c>
      <c r="G24" s="23">
        <v>0.23919741239210654</v>
      </c>
    </row>
    <row r="25">
      <c r="A25" s="7">
        <v>2.0</v>
      </c>
      <c r="B25" s="7">
        <v>30.0</v>
      </c>
      <c r="C25" s="23">
        <v>0.13803501396223136</v>
      </c>
      <c r="D25" s="23">
        <v>0.028106251722220452</v>
      </c>
      <c r="E25" s="23">
        <v>0.09579222687069938</v>
      </c>
      <c r="F25" s="23">
        <v>-0.045898372280857774</v>
      </c>
      <c r="G25" s="23">
        <v>0.29718810128384204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2025-05-31T03:22:40Z</dcterms:created>
  <dc:creator>Putnam Lab</dc:creator>
</cp:coreProperties>
</file>